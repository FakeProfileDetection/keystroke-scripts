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temp" sheetId="2" r:id="rId5"/>
    <sheet state="visible" name="fusion_notes" sheetId="3" r:id="rId6"/>
    <sheet state="visible" name="Results-summaries" sheetId="4" r:id="rId7"/>
    <sheet state="visible" name="ALVIN" sheetId="5" r:id="rId8"/>
    <sheet state="visible" name="LORI" sheetId="6" r:id="rId9"/>
    <sheet state="visible" name="INDRANI" sheetId="7" r:id="rId10"/>
    <sheet state="visible" name="Shared notes" sheetId="8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5">
      <text>
        <t xml:space="preserve">I don't see the value in having these experiments because there are no other configurations we could compare against, so they would just be run for the sake of checking the accuracy
	-Alvin Kuruvilla</t>
      </text>
    </comment>
  </commentList>
</comments>
</file>

<file path=xl/sharedStrings.xml><?xml version="1.0" encoding="utf-8"?>
<sst xmlns="http://schemas.openxmlformats.org/spreadsheetml/2006/main" count="741" uniqueCount="294">
  <si>
    <t>LLM Baseline (20B)</t>
  </si>
  <si>
    <t>LLM Baseline (120 B)</t>
  </si>
  <si>
    <t>ML Baseline</t>
  </si>
  <si>
    <t>Human Baseline</t>
  </si>
  <si>
    <t>LLM Embeddings (nomic-embed-text-v1.5)</t>
  </si>
  <si>
    <t>Input Fusion with Catboost (nomic-embed-text-v1.5)</t>
  </si>
  <si>
    <t>4 Scenarios basically</t>
  </si>
  <si>
    <t>Train</t>
  </si>
  <si>
    <t>samples per user (train)</t>
  </si>
  <si>
    <t>Test</t>
  </si>
  <si>
    <t>samples per user (test)</t>
  </si>
  <si>
    <t>k=1</t>
  </si>
  <si>
    <t>k=2</t>
  </si>
  <si>
    <t>k=3</t>
  </si>
  <si>
    <t>k=4</t>
  </si>
  <si>
    <t>k=5</t>
  </si>
  <si>
    <t>Same platform, same topic</t>
  </si>
  <si>
    <t>Scenario 1.1</t>
  </si>
  <si>
    <t>[Pi, Vj, Sk] i={F}, j ={1}, k={1}</t>
  </si>
  <si>
    <t>[Pi, Vj, Sk] i={F}, j ={1}, k={2}</t>
  </si>
  <si>
    <t>train dataset size: 1 datapoint per user</t>
  </si>
  <si>
    <t>[Pi, Vj, Sk] i={F}, j ={2}, k={1}</t>
  </si>
  <si>
    <t>[Pi, Vj, Sk] i={F}, j ={2}, k={2}</t>
  </si>
  <si>
    <t>[Pi, Vj, Sk] i={F}, j ={3}, k={1}</t>
  </si>
  <si>
    <t>[Pi, Vj, Sk] i={F}, j ={3}, k={2}</t>
  </si>
  <si>
    <t>[Pi, Vj, Sk] i={I}, j ={1}, k={1}</t>
  </si>
  <si>
    <t>[Pi, Vj, Sk] i={I}, j ={1}, k={2}</t>
  </si>
  <si>
    <t>[Pi, Vj, Sk] i={I}, j ={2}, k={1}</t>
  </si>
  <si>
    <t>[Pi, Vj, Sk] i={I}, j ={2}, k={2}</t>
  </si>
  <si>
    <t>[Pi, Vj, Sk] i={I}, j ={3}, k={1}</t>
  </si>
  <si>
    <t>[Pi, Vj, Sk] i={I}, j ={3}, k={2}</t>
  </si>
  <si>
    <t>[Pi, Vj, Sk] i={T}, j ={1}, k={1}</t>
  </si>
  <si>
    <t>[Pi, Vj, Sk] i={T}, j ={1}, k={2}</t>
  </si>
  <si>
    <t>[Pi, Vj, Sk] i={T}, j ={2}, k={1}</t>
  </si>
  <si>
    <t>[Pi, Vj, Sk] i={T}, j ={2}, k={2}</t>
  </si>
  <si>
    <t>[Pi, Vj, Sk] i={T}, j ={3}, k={1}</t>
  </si>
  <si>
    <t>[Pi, Vj, Sk] i={T}, j ={3}, k={2}</t>
  </si>
  <si>
    <t>mean</t>
  </si>
  <si>
    <t>std</t>
  </si>
  <si>
    <t>Scenario 1.2</t>
  </si>
  <si>
    <t>STD</t>
  </si>
  <si>
    <t>Same platform, cross topic</t>
  </si>
  <si>
    <t>Scenario 2</t>
  </si>
  <si>
    <t>[Pi, Vj, Sk] i={F}, j ={1, 2}, k={1, 2}</t>
  </si>
  <si>
    <t>[Pi, Vj, Sk] i={F}, j ={3}, k={1, 2}</t>
  </si>
  <si>
    <t>train dataset size: 4 datapoint per user</t>
  </si>
  <si>
    <t>[Pi, Vj, Sk] i={F}, j ={2, 3}, k={1, 2}</t>
  </si>
  <si>
    <t>[Pi, Vj, Sk] i={F}, j ={1}, k={1, 2}</t>
  </si>
  <si>
    <t>[Pi, Vj, Sk] i={F}, j ={1, 3}, k={1, 2}</t>
  </si>
  <si>
    <t>[Pi, Vj, Sk] i={F}, j ={2}, k={1, 2}</t>
  </si>
  <si>
    <t>[Pi, Vj, Sk] i={I}, j ={1, 2}, k={1, 2}</t>
  </si>
  <si>
    <t>[Pi, Vj, Sk] i={I}, j ={3}, k={1, 2}</t>
  </si>
  <si>
    <t>[Pi, Vj, Sk] i={I}, j ={2, 3}, k={1, 2}</t>
  </si>
  <si>
    <t>[Pi, Vj, Sk] i={I}, j ={1}, k={1, 2}</t>
  </si>
  <si>
    <t>[Pi, Vj, Sk] i={I}, j ={1, 3}, k={1, 2}</t>
  </si>
  <si>
    <t>[Pi, Vj, Sk] i={I}, j ={2}, k={1, 2}</t>
  </si>
  <si>
    <t>[Pi, Vj, Sk] i={T}, j ={1, 2}, k={1, 2}</t>
  </si>
  <si>
    <t>[Pi, Vj, Sk] i={T}, j ={3}, k={1, 2}</t>
  </si>
  <si>
    <t>[Pi, Vj, Sk] i={T}, j ={2, 3}, k={1, 2}</t>
  </si>
  <si>
    <t>[Pi, Vj, Sk] i={T}, j ={1}, k={1, 2}</t>
  </si>
  <si>
    <t>[Pi, Vj, Sk] i={T}, j ={1, 3}, k={1, 2}</t>
  </si>
  <si>
    <t>[Pi, Vj, Sk] i={T}, j ={2}, k={1, 2}</t>
  </si>
  <si>
    <t>Cross platform, same topic (1-1) (controlled for dataset size)</t>
  </si>
  <si>
    <t>Scenario 2.1</t>
  </si>
  <si>
    <r>
      <rPr>
        <rFont val="Courier New"/>
        <color theme="1"/>
      </rPr>
      <t xml:space="preserve">[Pi, Vj, Sk] </t>
    </r>
    <r>
      <rPr>
        <rFont val="Courier New"/>
        <color theme="1"/>
      </rPr>
      <t>i={F}</t>
    </r>
    <r>
      <rPr>
        <rFont val="Courier New"/>
        <color theme="1"/>
      </rPr>
      <t xml:space="preserve">, j ={1}, </t>
    </r>
    <r>
      <rPr>
        <rFont val="Courier New"/>
        <color theme="1"/>
      </rPr>
      <t>k={1}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</si>
  <si>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i={I}</t>
    </r>
    <r>
      <rPr>
        <rFont val="Courier New"/>
        <color theme="1"/>
      </rPr>
      <t xml:space="preserve">, j ={1}, </t>
    </r>
    <r>
      <rPr>
        <rFont val="Courier New"/>
        <color theme="1"/>
      </rPr>
      <t>k={2}</t>
    </r>
  </si>
  <si>
    <t>train dataset size: 1 datapoints per user</t>
  </si>
  <si>
    <r>
      <rPr>
        <rFont val="Courier New"/>
        <color theme="1"/>
      </rPr>
      <t xml:space="preserve">[Pi, Vj, Sk] </t>
    </r>
    <r>
      <rPr>
        <rFont val="Courier New"/>
        <color theme="1"/>
      </rPr>
      <t>i={I}</t>
    </r>
    <r>
      <rPr>
        <rFont val="Courier New"/>
        <color theme="1"/>
      </rPr>
      <t xml:space="preserve">, j ={1}, </t>
    </r>
    <r>
      <rPr>
        <rFont val="Courier New"/>
        <color theme="1"/>
      </rPr>
      <t>k={1}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</si>
  <si>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i={F}</t>
    </r>
    <r>
      <rPr>
        <rFont val="Courier New"/>
        <color theme="1"/>
      </rPr>
      <t xml:space="preserve">, j ={1}, </t>
    </r>
    <r>
      <rPr>
        <rFont val="Courier New"/>
        <color theme="1"/>
      </rPr>
      <t>k={2}</t>
    </r>
  </si>
  <si>
    <t xml:space="preserve">mean </t>
  </si>
  <si>
    <t>Scenario 2.2</t>
  </si>
  <si>
    <r>
      <rPr>
        <rFont val="Courier New"/>
        <color theme="1"/>
      </rPr>
      <t xml:space="preserve">[Pi, Vj, Sk] </t>
    </r>
    <r>
      <rPr>
        <rFont val="Courier New"/>
        <color theme="1"/>
      </rPr>
      <t>i={I}</t>
    </r>
    <r>
      <rPr>
        <rFont val="Courier New"/>
        <color theme="1"/>
      </rPr>
      <t xml:space="preserve">, j ={1}, </t>
    </r>
    <r>
      <rPr>
        <rFont val="Courier New"/>
        <color theme="1"/>
      </rPr>
      <t>k={2}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</si>
  <si>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i={F}</t>
    </r>
    <r>
      <rPr>
        <rFont val="Courier New"/>
        <color theme="1"/>
      </rPr>
      <t xml:space="preserve">, j ={1}, </t>
    </r>
    <r>
      <rPr>
        <rFont val="Courier New"/>
        <color theme="1"/>
      </rPr>
      <t>k={1}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</si>
  <si>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i={F}</t>
    </r>
    <r>
      <rPr>
        <rFont val="Courier New"/>
        <color theme="1"/>
      </rPr>
      <t xml:space="preserve">, j ={1}, </t>
    </r>
    <r>
      <rPr>
        <rFont val="Courier New"/>
        <color theme="1"/>
      </rPr>
      <t>k={2}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</si>
  <si>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i={I}</t>
    </r>
    <r>
      <rPr>
        <rFont val="Courier New"/>
        <color theme="1"/>
      </rPr>
      <t xml:space="preserve">, j ={1}, </t>
    </r>
    <r>
      <rPr>
        <rFont val="Courier New"/>
        <color theme="1"/>
      </rPr>
      <t>k={1}</t>
    </r>
  </si>
  <si>
    <t>Cross platform, same topic (1-1)</t>
  </si>
  <si>
    <t>Scenario 3.1</t>
  </si>
  <si>
    <t>[Pi, Vj, Sk] i={F}, j ={2}, k={1 ,2}</t>
  </si>
  <si>
    <t>[Pi, Vj, Sk] i={I}, j ={2}, k={1 ,2}</t>
  </si>
  <si>
    <t>train dataset size: 2 datapoints per user</t>
  </si>
  <si>
    <t>[Pi, Vj, Sk] i={F}, j ={3}, k={1 ,2}</t>
  </si>
  <si>
    <t>[Pi, Vj, Sk] i={I}, j ={3}, k={1 ,2}</t>
  </si>
  <si>
    <t>[Pi, Vj, Sk] i={F}, j ={1}, k={1 ,2}</t>
  </si>
  <si>
    <t>[Pi, Vj, Sk] i={T}, j ={1}, k={1 ,2}</t>
  </si>
  <si>
    <t>[Pi, Vj, Sk] i={T}, j ={2}, k={1 ,2}</t>
  </si>
  <si>
    <t>[Pi, Vj, Sk] i={T}, j ={3}, k={1 ,2}</t>
  </si>
  <si>
    <t>[Pi, Vj, Sk] i={I}, j ={1}, k={1 ,2}</t>
  </si>
  <si>
    <t>Cross platform, same topic (2-1)</t>
  </si>
  <si>
    <t>Scenario 3.2</t>
  </si>
  <si>
    <r>
      <rPr>
        <rFont val="Courier New"/>
        <color theme="1"/>
      </rPr>
      <t>[Pi, Vj, Sk] i=</t>
    </r>
    <r>
      <rPr>
        <rFont val="Courier New"/>
        <b/>
        <color theme="1"/>
      </rPr>
      <t>{F, I}</t>
    </r>
    <r>
      <rPr>
        <rFont val="Courier New"/>
        <color theme="1"/>
      </rPr>
      <t>, j ={1}, k={1 ,2}</t>
    </r>
  </si>
  <si>
    <t>train dataset size: 4 datapoints per user</t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</si>
  <si>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</si>
  <si>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</si>
  <si>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</si>
  <si>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</si>
  <si>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</t>
    </r>
    <r>
      <rPr>
        <rFont val="Courier New"/>
        <b/>
        <color theme="1"/>
      </rPr>
      <t>{I, T}</t>
    </r>
    <r>
      <rPr>
        <rFont val="Courier New"/>
        <color theme="1"/>
      </rPr>
      <t>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</si>
  <si>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</si>
  <si>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I, T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</si>
  <si>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</si>
  <si>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I, T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</si>
  <si>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</si>
  <si>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</t>
    </r>
    <r>
      <rPr>
        <rFont val="Courier New"/>
        <b/>
        <color theme="1"/>
      </rPr>
      <t>{T, F}</t>
    </r>
    <r>
      <rPr>
        <rFont val="Courier New"/>
        <color theme="1"/>
      </rPr>
      <t>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</si>
  <si>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</si>
  <si>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T, F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</si>
  <si>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</si>
  <si>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T, F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</si>
  <si>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={3}, k={1 ,2}</t>
    </r>
  </si>
  <si>
    <t>Cross platform, cross topic (1-1)</t>
  </si>
  <si>
    <t>Scenario 4.1</t>
  </si>
  <si>
    <t>Cross platform, cross topic (2-1)</t>
  </si>
  <si>
    <t>Scenario 4.2</t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</si>
  <si>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={1}, k={1 ,2}</t>
    </r>
  </si>
  <si>
    <t>[Pi, Vj, Sk] i={F, I}, j ={2}, k={1 ,2}</t>
  </si>
  <si>
    <t>[Pi, Vj, Sk] i={F, I}, j ={3}, k={1 ,2}</t>
  </si>
  <si>
    <t>[Pi, Vj, Sk] i={F, T}, j ={1}, k={1 ,2}</t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</si>
  <si>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={2}, k={1 ,2}</t>
    </r>
  </si>
  <si>
    <t>[Pi, Vj, Sk] i={I, T}, j ={1}, k={1 ,2}</t>
  </si>
  <si>
    <t>[Pi, Vj, Sk] i={I, T}, j ={2}, k={1 ,2}</t>
  </si>
  <si>
    <t>[Pi, Vj, Sk] i={I, T}, j ={3}, k={1 ,2}</t>
  </si>
  <si>
    <t>1. Same platform, same topic [people do comment on the same topic multiple times, on the same platform]</t>
  </si>
  <si>
    <t>2. Same platform, cross-topic [this is a very common situation, where the person will have two profiles, and they will comment on different profiles on the same platform]</t>
  </si>
  <si>
    <t>3. Cross-platform, same topic (1-1)</t>
  </si>
  <si>
    <t>4. Cross-platform, same topic (2-1)</t>
  </si>
  <si>
    <t>5. Cross platform, cross topic (1-1)</t>
  </si>
  <si>
    <t>6. Cross platform, cross topic (2-1)</t>
  </si>
  <si>
    <r>
      <rPr>
        <rFont val="Courier New"/>
        <color theme="1"/>
      </rPr>
      <t xml:space="preserve">[Pi, Vj, Sk] </t>
    </r>
    <r>
      <rPr>
        <rFont val="Courier New"/>
        <color theme="1"/>
      </rPr>
      <t>i={F}</t>
    </r>
    <r>
      <rPr>
        <rFont val="Courier New"/>
        <color theme="1"/>
      </rPr>
      <t xml:space="preserve">, j ={1}, </t>
    </r>
    <r>
      <rPr>
        <rFont val="Courier New"/>
        <color theme="1"/>
      </rPr>
      <t>k={1}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</si>
  <si>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i={I}</t>
    </r>
    <r>
      <rPr>
        <rFont val="Courier New"/>
        <color theme="1"/>
      </rPr>
      <t xml:space="preserve">, j ={1}, </t>
    </r>
    <r>
      <rPr>
        <rFont val="Courier New"/>
        <color theme="1"/>
      </rPr>
      <t>k={2}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</si>
  <si>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i={I}</t>
    </r>
    <r>
      <rPr>
        <rFont val="Courier New"/>
        <color theme="1"/>
      </rPr>
      <t xml:space="preserve">, j ={1}, </t>
    </r>
    <r>
      <rPr>
        <rFont val="Courier New"/>
        <color theme="1"/>
      </rPr>
      <t>k={1}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</si>
  <si>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i={F}</t>
    </r>
    <r>
      <rPr>
        <rFont val="Courier New"/>
        <color theme="1"/>
      </rPr>
      <t xml:space="preserve">, j ={1}, </t>
    </r>
    <r>
      <rPr>
        <rFont val="Courier New"/>
        <color theme="1"/>
      </rPr>
      <t>k={2}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</si>
  <si>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i={I}</t>
    </r>
    <r>
      <rPr>
        <rFont val="Courier New"/>
        <color theme="1"/>
      </rPr>
      <t xml:space="preserve">, j ={1}, </t>
    </r>
    <r>
      <rPr>
        <rFont val="Courier New"/>
        <color theme="1"/>
      </rPr>
      <t>k={2}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</si>
  <si>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i={F}</t>
    </r>
    <r>
      <rPr>
        <rFont val="Courier New"/>
        <color theme="1"/>
      </rPr>
      <t xml:space="preserve">, j ={1}, </t>
    </r>
    <r>
      <rPr>
        <rFont val="Courier New"/>
        <color theme="1"/>
      </rPr>
      <t>k={1}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</si>
  <si>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i={F}</t>
    </r>
    <r>
      <rPr>
        <rFont val="Courier New"/>
        <color theme="1"/>
      </rPr>
      <t xml:space="preserve">, j ={1}, </t>
    </r>
    <r>
      <rPr>
        <rFont val="Courier New"/>
        <color theme="1"/>
      </rPr>
      <t>k={2}</t>
    </r>
  </si>
  <si>
    <r>
      <rPr>
        <rFont val="Courier New"/>
        <color theme="1"/>
      </rPr>
      <t xml:space="preserve">[Pi, Vj, Sk] </t>
    </r>
    <r>
      <rPr>
        <rFont val="Courier New"/>
        <color theme="1"/>
      </rPr>
      <t>i={I}</t>
    </r>
    <r>
      <rPr>
        <rFont val="Courier New"/>
        <color theme="1"/>
      </rPr>
      <t xml:space="preserve">, j ={1}, </t>
    </r>
    <r>
      <rPr>
        <rFont val="Courier New"/>
        <color theme="1"/>
      </rPr>
      <t>k={1}</t>
    </r>
  </si>
  <si>
    <r>
      <rPr>
        <rFont val="Courier New"/>
        <color theme="1"/>
      </rPr>
      <t>[Pi, Vj, Sk] i=</t>
    </r>
    <r>
      <rPr>
        <rFont val="Courier New"/>
        <color theme="1"/>
      </rPr>
      <t>{F, I}</t>
    </r>
    <r>
      <rPr>
        <rFont val="Courier New"/>
        <color theme="1"/>
      </rPr>
      <t>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</si>
  <si>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</si>
  <si>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</si>
  <si>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</si>
  <si>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</si>
  <si>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</t>
    </r>
    <r>
      <rPr>
        <rFont val="Courier New"/>
        <color theme="1"/>
      </rPr>
      <t>{I, T}</t>
    </r>
    <r>
      <rPr>
        <rFont val="Courier New"/>
        <color theme="1"/>
      </rPr>
      <t>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</si>
  <si>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</si>
  <si>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I, T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</si>
  <si>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</si>
  <si>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I, T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</si>
  <si>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</si>
  <si>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</t>
    </r>
    <r>
      <rPr>
        <rFont val="Courier New"/>
        <color theme="1"/>
      </rPr>
      <t>{T, F}</t>
    </r>
    <r>
      <rPr>
        <rFont val="Courier New"/>
        <color theme="1"/>
      </rPr>
      <t>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</si>
  <si>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</si>
  <si>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T, F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</si>
  <si>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</si>
  <si>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T, F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</si>
  <si>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</si>
  <si>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</si>
  <si>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</si>
  <si>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={2}, k={1 ,2}</t>
    </r>
  </si>
  <si>
    <t>https://docs.google.com/document/d/1ppRwl1hK2qxZuxZVyanTeVv9eW13jvSKFkbN3qqR4vE/edit?usp=sharing</t>
  </si>
  <si>
    <t>Top 1</t>
  </si>
  <si>
    <t>Input Fusion with Catboost (nomic-emned-text-v1.5)</t>
  </si>
  <si>
    <t>Scenario 1</t>
  </si>
  <si>
    <t>42.26 ± 12.47</t>
  </si>
  <si>
    <t xml:space="preserve">39.43 ± 12.68 </t>
  </si>
  <si>
    <t>12.93 ± 4.74</t>
  </si>
  <si>
    <t>29.24 ± 3.98</t>
  </si>
  <si>
    <t>61.93 ± 6.44</t>
  </si>
  <si>
    <t>53.28 ± 3.87</t>
  </si>
  <si>
    <t>68.67 ± 4.95</t>
  </si>
  <si>
    <t>65.21 ± 6.20</t>
  </si>
  <si>
    <t>6.92 ± 3.55</t>
  </si>
  <si>
    <t>8.74 ± 3.35</t>
  </si>
  <si>
    <t>8.20 ± 3.93</t>
  </si>
  <si>
    <t>16.21 ± 4.03</t>
  </si>
  <si>
    <t>Top 5</t>
  </si>
  <si>
    <t>73.13 ± 12.95</t>
  </si>
  <si>
    <t>71.49 ± 5.31</t>
  </si>
  <si>
    <t>37.34 ± 6.28</t>
  </si>
  <si>
    <t>66.94 ± 5.54</t>
  </si>
  <si>
    <t>89.80 ± 2.56</t>
  </si>
  <si>
    <t>85.34 ± 3.44</t>
  </si>
  <si>
    <t>96.72 ± 1.16</t>
  </si>
  <si>
    <t>95.90 ± 2.01</t>
  </si>
  <si>
    <t>25.14 ± 4.91</t>
  </si>
  <si>
    <t>25.87 ± 4.44</t>
  </si>
  <si>
    <t>25.32 ± 6.30</t>
  </si>
  <si>
    <t>44.26 ± 4.26</t>
  </si>
  <si>
    <t>Ablation</t>
  </si>
  <si>
    <t>hold number of data constant for each experiment.</t>
  </si>
  <si>
    <t>Hypotheses–ablation</t>
  </si>
  <si>
    <t>Users can be identified even if they are typing on different platforms—hold session and video constant</t>
  </si>
  <si>
    <t>Users can be identified even if they are responding to different emotionally engaged videos–hold platform and session constant</t>
  </si>
  <si>
    <t>Amount of data matters--holding video, session, platform constants</t>
  </si>
  <si>
    <t>LLM versus keystroke</t>
  </si>
  <si>
    <t>variable</t>
  </si>
  <si>
    <t xml:space="preserve">enrollment </t>
  </si>
  <si>
    <t>test</t>
  </si>
  <si>
    <t>size of data</t>
  </si>
  <si>
    <t>Does the platform context matter</t>
  </si>
  <si>
    <t>platform</t>
  </si>
  <si>
    <t>F</t>
  </si>
  <si>
    <t xml:space="preserve">T </t>
  </si>
  <si>
    <t>6 samples per enrollment</t>
  </si>
  <si>
    <t>Tests of statistical significace</t>
  </si>
  <si>
    <t>I</t>
  </si>
  <si>
    <t>T</t>
  </si>
  <si>
    <t>Does emotionally engaging context variation affect performance?</t>
  </si>
  <si>
    <t>video</t>
  </si>
  <si>
    <t>v1</t>
  </si>
  <si>
    <t>v2</t>
  </si>
  <si>
    <t>6 samples per user</t>
  </si>
  <si>
    <t>v3</t>
  </si>
  <si>
    <t>Number of samples mattters</t>
  </si>
  <si>
    <t>n-sampesl in enrollment</t>
  </si>
  <si>
    <t>Does text + keystroke data perform better than either modality alone?</t>
  </si>
  <si>
    <t>Choose any experiment with existing ml results</t>
  </si>
  <si>
    <t>Miror this with fusion experiments.</t>
  </si>
  <si>
    <t>## SCENARIO 1: Same Platform, Same Topic</t>
  </si>
  <si>
    <t xml:space="preserve">### Scenario 1.1: Within Same Session </t>
  </si>
  <si>
    <t>Baseline</t>
  </si>
  <si>
    <t>### Scenario 1.2: Within Cross Session</t>
  </si>
  <si>
    <t>## SCENARIO 2: Same Platform, Cross Topic, Cross/same Session</t>
  </si>
  <si>
    <t>### Scenario 2.1: Video 1 ↔ Video 2</t>
  </si>
  <si>
    <t>### Scenario 2.2: Video 1 ↔ Video 3</t>
  </si>
  <si>
    <t>### Scenario 2.3: Video 2 ↔ Video 3</t>
  </si>
  <si>
    <t>## SCENARIO 3: Cross Platform, Same Topic, Cross/Same Session</t>
  </si>
  <si>
    <t>## SCENARIO 4: Cross Platform, Cross Topic (WORST CASE), , Cross/Same Session</t>
  </si>
  <si>
    <t>Prev options below</t>
  </si>
  <si>
    <t>Done</t>
  </si>
  <si>
    <t>Hypothesis</t>
  </si>
  <si>
    <t>Same platform</t>
  </si>
  <si>
    <t>[Pi, Vj, Sk] i={F}, j ={1,2,3}, k=1</t>
  </si>
  <si>
    <t>[Pi, Vj, Sk] i={F}, j ={1,2,3}, k=2</t>
  </si>
  <si>
    <t>yes</t>
  </si>
  <si>
    <t>Identification of individuals via text is independent of platform, as long as enrollment and query data are from the same platform</t>
  </si>
  <si>
    <t>[Pi, Vj, Sk] i={I}, j ={1,2,3}, k=1</t>
  </si>
  <si>
    <t>[Pi, Vj, Sk] i={I}, j ={1,2,3}, k=2</t>
  </si>
  <si>
    <t>[Pi, Vj, Sk] i={T}, j ={1,2,3}, k=1</t>
  </si>
  <si>
    <t>[Pi, Vj, Sk] i={T}, j ={1,2,3}, k=2</t>
  </si>
  <si>
    <t>Cross platform</t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</si>
  <si>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</si>
  <si>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={1, 2, 3}, k={1, 2}</t>
    </r>
  </si>
  <si>
    <t>Identification of individuals via text is independent of platform, if the enrollment and query data are from different platforms</t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</si>
  <si>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</si>
  <si>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={1,2,3}, k= {1, 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</si>
  <si>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</si>
  <si>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</si>
  <si>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</si>
  <si>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={1,2,3}, k= {1, 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</si>
  <si>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={1,2,3}, k= {1, 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</si>
  <si>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</si>
  <si>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={1,2,3}, k= {1, 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</si>
  <si>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={1, 2, 3}, k={1, 2}</t>
    </r>
  </si>
  <si>
    <t>Cross platform - multi</t>
  </si>
  <si>
    <t>Scenario 3</t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</si>
  <si>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</si>
  <si>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={1, 2, 3}, k={1, 2}</t>
    </r>
  </si>
  <si>
    <t>no</t>
  </si>
  <si>
    <t>more data for this</t>
  </si>
  <si>
    <r>
      <rPr>
        <rFont val="Courier New"/>
        <color theme="1"/>
      </rPr>
      <t>[Pi, Vj, Sk] i={</t>
    </r>
    <r>
      <rPr>
        <rFont val="Courier New"/>
        <color theme="1"/>
      </rPr>
      <t>I, T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</si>
  <si>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</si>
  <si>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T, F</t>
    </r>
    <r>
      <rPr>
        <rFont val="Courier New"/>
        <color theme="1"/>
      </rPr>
      <t>}, j ={1, 2, 3}, k={1, 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</si>
  <si>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={1, 2, 3}, k={1, 2}</t>
    </r>
  </si>
  <si>
    <t>Cross-session</t>
  </si>
  <si>
    <t>Scenario 4</t>
  </si>
  <si>
    <r>
      <rPr>
        <rFont val="Courier New"/>
        <color theme="1"/>
      </rPr>
      <t>[Pi, Vj, Sk] i={</t>
    </r>
    <r>
      <rPr>
        <rFont val="Courier New"/>
        <color theme="1"/>
      </rPr>
      <t>F, I, T</t>
    </r>
    <r>
      <rPr>
        <rFont val="Courier New"/>
        <color theme="1"/>
      </rPr>
      <t>}, j ={1, 2, 3}, k={1}</t>
    </r>
  </si>
  <si>
    <r>
      <rPr>
        <rFont val="Courier New"/>
        <color theme="1"/>
      </rPr>
      <t>[Pi, Vj, Sk] i={</t>
    </r>
    <r>
      <rPr>
        <rFont val="Courier New"/>
        <color theme="1"/>
      </rPr>
      <t>F, I, T</t>
    </r>
    <r>
      <rPr>
        <rFont val="Courier New"/>
        <color theme="1"/>
      </rPr>
      <t>}, j ={1, 2, 3}, k={2}</t>
    </r>
  </si>
  <si>
    <t>drop!</t>
  </si>
  <si>
    <t>None. Just looking at performance</t>
  </si>
  <si>
    <t xml:space="preserve">Same topic -- cross platform. Same video across platform is possible, so we can test same video-cross platform. </t>
  </si>
  <si>
    <t>Scenario 5</t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</si>
  <si>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</si>
  <si>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={1}, k={1 ,2}</t>
    </r>
  </si>
  <si>
    <t>same as sceario 2</t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</si>
  <si>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</si>
  <si>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</si>
  <si>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F, I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</si>
  <si>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T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</si>
  <si>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I, T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</si>
  <si>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</si>
  <si>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I, T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</si>
  <si>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</si>
  <si>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I, T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</si>
  <si>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F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</si>
  <si>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T, F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</si>
  <si>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={1}, k={1 ,2}</t>
    </r>
  </si>
  <si>
    <r>
      <rPr>
        <rFont val="Courier New"/>
        <color theme="1"/>
      </rPr>
      <t>[Pi, Vj, Sk] i={</t>
    </r>
    <r>
      <rPr>
        <rFont val="Courier New"/>
        <color theme="1"/>
      </rPr>
      <t>T, F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</si>
  <si>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={2}, k={1 ,2}</t>
    </r>
  </si>
  <si>
    <r>
      <rPr>
        <rFont val="Courier New"/>
        <color theme="1"/>
      </rPr>
      <t>[Pi, Vj, Sk] i={</t>
    </r>
    <r>
      <rPr>
        <rFont val="Courier New"/>
        <color theme="1"/>
      </rPr>
      <t>T, F</t>
    </r>
    <r>
      <rPr>
        <rFont val="Courier New"/>
        <color theme="1"/>
      </rPr>
      <t>}, j ={3}, k={1 ,2}</t>
    </r>
  </si>
  <si>
    <r>
      <rPr>
        <rFont val="Courier New"/>
        <color theme="1"/>
      </rPr>
      <t>[Pi, Vj, Sk] i={</t>
    </r>
    <r>
      <rPr>
        <rFont val="Courier New"/>
        <color theme="1"/>
      </rPr>
      <t>I</t>
    </r>
    <r>
      <rPr>
        <rFont val="Courier New"/>
        <color theme="1"/>
      </rPr>
      <t>}, j ={3}, k={1 ,2}</t>
    </r>
  </si>
  <si>
    <t>Cross videos/topics</t>
  </si>
  <si>
    <t>Scenario 6</t>
  </si>
  <si>
    <r>
      <rPr>
        <rFont val="Courier New"/>
        <color theme="1"/>
      </rPr>
      <t>[Pi, Vj, Sk] i={</t>
    </r>
    <r>
      <rPr>
        <rFont val="Courier New"/>
        <color theme="1"/>
      </rPr>
      <t>F, I, T</t>
    </r>
    <r>
      <rPr>
        <rFont val="Courier New"/>
        <color theme="1"/>
      </rPr>
      <t>}, j ={1}, k={1, 2}</t>
    </r>
  </si>
  <si>
    <r>
      <rPr>
        <rFont val="Courier New"/>
        <color theme="1"/>
      </rPr>
      <t>[Pi, Vj, Sk] i={</t>
    </r>
    <r>
      <rPr>
        <rFont val="Courier New"/>
        <color theme="1"/>
      </rPr>
      <t>F, I, T</t>
    </r>
    <r>
      <rPr>
        <rFont val="Courier New"/>
        <color theme="1"/>
      </rPr>
      <t>}, j ={2}, k={1, 2}</t>
    </r>
  </si>
  <si>
    <t xml:space="preserve">Identification of users via text is NOT independent of topic.  </t>
  </si>
  <si>
    <r>
      <rPr>
        <rFont val="Courier New"/>
        <color theme="1"/>
      </rPr>
      <t>[Pi, Vj, Sk] i={</t>
    </r>
    <r>
      <rPr>
        <rFont val="Courier New"/>
        <color theme="1"/>
      </rPr>
      <t>F, I, T</t>
    </r>
    <r>
      <rPr>
        <rFont val="Courier New"/>
        <color theme="1"/>
      </rPr>
      <t>}, j ={1}, k={1, 2}</t>
    </r>
  </si>
  <si>
    <r>
      <rPr>
        <rFont val="Courier New"/>
        <color theme="1"/>
      </rPr>
      <t>[Pi, Vj, Sk] i={</t>
    </r>
    <r>
      <rPr>
        <rFont val="Courier New"/>
        <color theme="1"/>
      </rPr>
      <t>F, I, T</t>
    </r>
    <r>
      <rPr>
        <rFont val="Courier New"/>
        <color theme="1"/>
      </rPr>
      <t>}, j ={3}, k={1, 2}</t>
    </r>
  </si>
  <si>
    <r>
      <rPr>
        <rFont val="Courier New"/>
        <color theme="1"/>
      </rPr>
      <t>[Pi, Vj, Sk] i={</t>
    </r>
    <r>
      <rPr>
        <rFont val="Courier New"/>
        <color theme="1"/>
      </rPr>
      <t>F, I, T</t>
    </r>
    <r>
      <rPr>
        <rFont val="Courier New"/>
        <color theme="1"/>
      </rPr>
      <t>}, j ={2}, k={1, 2}</t>
    </r>
  </si>
  <si>
    <r>
      <rPr>
        <rFont val="Courier New"/>
        <color theme="1"/>
      </rPr>
      <t>[Pi, Vj, Sk] i={</t>
    </r>
    <r>
      <rPr>
        <rFont val="Courier New"/>
        <color theme="1"/>
      </rPr>
      <t>F, I, T</t>
    </r>
    <r>
      <rPr>
        <rFont val="Courier New"/>
        <color theme="1"/>
      </rPr>
      <t>}, j ={3}, k={1, 2}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</si>
</sst>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Courier New"/>
    </font>
    <font>
      <color theme="1"/>
      <name val="Courier New"/>
    </font>
    <font/>
    <font>
      <strike/>
      <color theme="1"/>
      <name val="Courier New"/>
    </font>
    <font>
      <color theme="1"/>
      <name val="Arial"/>
      <scheme val="minor"/>
    </font>
    <font>
      <u/>
      <color rgb="FF0000FF"/>
    </font>
    <font>
      <b/>
      <sz val="11.0"/>
      <color rgb="FF000000"/>
      <name val="'Quattrocento Sans'"/>
    </font>
    <font>
      <b/>
      <sz val="14.0"/>
      <color rgb="FF000000"/>
      <name val="Times New Roman"/>
    </font>
    <font>
      <sz val="14.0"/>
      <color theme="1"/>
      <name val="Times New Roman"/>
    </font>
    <font>
      <sz val="14.0"/>
      <color rgb="FF000000"/>
      <name val="Times New Roman"/>
    </font>
    <font>
      <b/>
      <sz val="11.0"/>
      <color rgb="FF000000"/>
      <name val="Courier New"/>
    </font>
  </fonts>
  <fills count="1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2" fontId="1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ont="1">
      <alignment horizontal="left" readingOrder="0" vertical="center"/>
    </xf>
    <xf borderId="1" fillId="4" fontId="1" numFmtId="0" xfId="0" applyAlignment="1" applyBorder="1" applyFont="1">
      <alignment horizontal="left" readingOrder="0" vertical="center"/>
    </xf>
    <xf borderId="1" fillId="5" fontId="1" numFmtId="0" xfId="0" applyAlignment="1" applyBorder="1" applyFont="1">
      <alignment horizontal="left" readingOrder="0" vertical="center"/>
    </xf>
    <xf borderId="1" fillId="6" fontId="1" numFmtId="0" xfId="0" applyAlignment="1" applyBorder="1" applyFont="1">
      <alignment horizontal="left" readingOrder="0" vertical="center"/>
    </xf>
    <xf borderId="5" fillId="7" fontId="2" numFmtId="0" xfId="0" applyAlignment="1" applyBorder="1" applyFill="1" applyFont="1">
      <alignment horizontal="left" readingOrder="0" vertical="center"/>
    </xf>
    <xf borderId="1" fillId="7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1" fillId="3" fontId="2" numFmtId="0" xfId="0" applyBorder="1" applyFont="1"/>
    <xf borderId="1" fillId="4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5" fontId="2" numFmtId="10" xfId="0" applyAlignment="1" applyBorder="1" applyFont="1" applyNumberFormat="1">
      <alignment horizontal="left" readingOrder="0" vertical="center"/>
    </xf>
    <xf borderId="1" fillId="6" fontId="2" numFmtId="10" xfId="0" applyAlignment="1" applyBorder="1" applyFont="1" applyNumberFormat="1">
      <alignment horizontal="left" readingOrder="0" vertical="center"/>
    </xf>
    <xf borderId="6" fillId="0" fontId="3" numFmtId="0" xfId="0" applyBorder="1" applyFont="1"/>
    <xf borderId="7" fillId="0" fontId="3" numFmtId="0" xfId="0" applyBorder="1" applyFont="1"/>
    <xf borderId="5" fillId="0" fontId="2" numFmtId="0" xfId="0" applyAlignment="1" applyBorder="1" applyFont="1">
      <alignment horizontal="left" vertical="center"/>
    </xf>
    <xf borderId="5" fillId="3" fontId="2" numFmtId="0" xfId="0" applyBorder="1" applyFont="1"/>
    <xf borderId="5" fillId="4" fontId="2" numFmtId="0" xfId="0" applyAlignment="1" applyBorder="1" applyFont="1">
      <alignment horizontal="left" vertical="center"/>
    </xf>
    <xf borderId="5" fillId="2" fontId="2" numFmtId="0" xfId="0" applyAlignment="1" applyBorder="1" applyFont="1">
      <alignment horizontal="left" vertical="center"/>
    </xf>
    <xf borderId="5" fillId="5" fontId="2" numFmtId="10" xfId="0" applyAlignment="1" applyBorder="1" applyFont="1" applyNumberFormat="1">
      <alignment horizontal="left" readingOrder="0" vertical="center"/>
    </xf>
    <xf borderId="5" fillId="6" fontId="2" numFmtId="10" xfId="0" applyAlignment="1" applyBorder="1" applyFont="1" applyNumberFormat="1">
      <alignment horizontal="left" readingOrder="0" vertical="center"/>
    </xf>
    <xf borderId="1" fillId="8" fontId="2" numFmtId="0" xfId="0" applyAlignment="1" applyBorder="1" applyFill="1" applyFont="1">
      <alignment horizontal="left" readingOrder="0" vertical="center"/>
    </xf>
    <xf borderId="1" fillId="8" fontId="2" numFmtId="0" xfId="0" applyAlignment="1" applyBorder="1" applyFont="1">
      <alignment horizontal="left" readingOrder="0" shrinkToFit="0" vertical="center" wrapText="1"/>
    </xf>
    <xf borderId="1" fillId="8" fontId="2" numFmtId="0" xfId="0" applyAlignment="1" applyBorder="1" applyFont="1">
      <alignment horizontal="left" vertical="center"/>
    </xf>
    <xf borderId="1" fillId="8" fontId="2" numFmtId="0" xfId="0" applyBorder="1" applyFont="1"/>
    <xf borderId="1" fillId="8" fontId="2" numFmtId="10" xfId="0" applyAlignment="1" applyBorder="1" applyFont="1" applyNumberFormat="1">
      <alignment horizontal="left" readingOrder="0" vertical="center"/>
    </xf>
    <xf borderId="6" fillId="7" fontId="2" numFmtId="0" xfId="0" applyAlignment="1" applyBorder="1" applyFont="1">
      <alignment horizontal="left" readingOrder="0" vertical="center"/>
    </xf>
    <xf borderId="7" fillId="7" fontId="2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horizontal="left" vertical="center"/>
    </xf>
    <xf borderId="7" fillId="3" fontId="2" numFmtId="0" xfId="0" applyBorder="1" applyFont="1"/>
    <xf borderId="7" fillId="4" fontId="2" numFmtId="0" xfId="0" applyAlignment="1" applyBorder="1" applyFont="1">
      <alignment horizontal="left" vertical="center"/>
    </xf>
    <xf borderId="7" fillId="2" fontId="2" numFmtId="0" xfId="0" applyAlignment="1" applyBorder="1" applyFont="1">
      <alignment horizontal="left" vertical="center"/>
    </xf>
    <xf borderId="7" fillId="5" fontId="2" numFmtId="10" xfId="0" applyAlignment="1" applyBorder="1" applyFont="1" applyNumberFormat="1">
      <alignment horizontal="left" readingOrder="0" vertical="center"/>
    </xf>
    <xf borderId="7" fillId="6" fontId="2" numFmtId="10" xfId="0" applyAlignment="1" applyBorder="1" applyFont="1" applyNumberFormat="1">
      <alignment horizontal="left" readingOrder="0" vertical="center"/>
    </xf>
    <xf borderId="1" fillId="9" fontId="2" numFmtId="0" xfId="0" applyAlignment="1" applyBorder="1" applyFill="1" applyFont="1">
      <alignment horizontal="left" readingOrder="0" vertical="center"/>
    </xf>
    <xf borderId="1" fillId="9" fontId="2" numFmtId="0" xfId="0" applyAlignment="1" applyBorder="1" applyFont="1">
      <alignment horizontal="left" vertical="center"/>
    </xf>
    <xf borderId="1" fillId="9" fontId="2" numFmtId="0" xfId="0" applyBorder="1" applyFont="1"/>
    <xf borderId="1" fillId="9" fontId="2" numFmtId="10" xfId="0" applyAlignment="1" applyBorder="1" applyFont="1" applyNumberFormat="1">
      <alignment horizontal="left" readingOrder="0" vertical="center"/>
    </xf>
    <xf borderId="5" fillId="3" fontId="4" numFmtId="0" xfId="0" applyAlignment="1" applyBorder="1" applyFont="1">
      <alignment horizontal="left" readingOrder="0" vertical="center"/>
    </xf>
    <xf borderId="1" fillId="3" fontId="4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vertical="center"/>
    </xf>
    <xf borderId="1" fillId="3" fontId="4" numFmtId="0" xfId="0" applyBorder="1" applyFont="1"/>
    <xf borderId="1" fillId="4" fontId="4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1" fillId="5" fontId="4" numFmtId="10" xfId="0" applyAlignment="1" applyBorder="1" applyFont="1" applyNumberFormat="1">
      <alignment horizontal="left" readingOrder="0" vertical="center"/>
    </xf>
    <xf borderId="1" fillId="6" fontId="4" numFmtId="10" xfId="0" applyAlignment="1" applyBorder="1" applyFont="1" applyNumberFormat="1">
      <alignment horizontal="left" readingOrder="0" vertical="center"/>
    </xf>
    <xf borderId="1" fillId="9" fontId="2" numFmtId="0" xfId="0" applyAlignment="1" applyBorder="1" applyFont="1">
      <alignment readingOrder="0"/>
    </xf>
    <xf borderId="5" fillId="0" fontId="2" numFmtId="0" xfId="0" applyAlignment="1" applyBorder="1" applyFont="1">
      <alignment horizontal="left" readingOrder="0" vertical="center"/>
    </xf>
    <xf borderId="1" fillId="2" fontId="2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readingOrder="0" vertical="center"/>
    </xf>
    <xf borderId="1" fillId="8" fontId="2" numFmtId="0" xfId="0" applyAlignment="1" applyBorder="1" applyFont="1">
      <alignment readingOrder="0"/>
    </xf>
    <xf borderId="6" fillId="0" fontId="2" numFmtId="0" xfId="0" applyAlignment="1" applyBorder="1" applyFont="1">
      <alignment horizontal="left" readingOrder="0" vertical="center"/>
    </xf>
    <xf borderId="1" fillId="0" fontId="2" numFmtId="0" xfId="0" applyBorder="1" applyFont="1"/>
    <xf borderId="1" fillId="4" fontId="2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7" fillId="9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readingOrder="0" vertical="center"/>
    </xf>
    <xf borderId="2" fillId="9" fontId="2" numFmtId="0" xfId="0" applyAlignment="1" applyBorder="1" applyFont="1">
      <alignment horizontal="left" vertical="center"/>
    </xf>
    <xf borderId="5" fillId="2" fontId="2" numFmtId="0" xfId="0" applyAlignment="1" applyBorder="1" applyFont="1">
      <alignment horizontal="left" readingOrder="0" vertical="center"/>
    </xf>
    <xf borderId="7" fillId="9" fontId="2" numFmtId="0" xfId="0" applyAlignment="1" applyBorder="1" applyFont="1">
      <alignment readingOrder="0"/>
    </xf>
    <xf borderId="7" fillId="9" fontId="2" numFmtId="0" xfId="0" applyBorder="1" applyFont="1"/>
    <xf borderId="7" fillId="9" fontId="2" numFmtId="0" xfId="0" applyAlignment="1" applyBorder="1" applyFont="1">
      <alignment horizontal="left" vertical="center"/>
    </xf>
    <xf borderId="7" fillId="9" fontId="2" numFmtId="10" xfId="0" applyAlignment="1" applyBorder="1" applyFont="1" applyNumberFormat="1">
      <alignment horizontal="left"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2" numFmtId="10" xfId="0" applyAlignment="1" applyFont="1" applyNumberFormat="1">
      <alignment horizontal="left" readingOrder="0" vertical="center"/>
    </xf>
    <xf borderId="1" fillId="5" fontId="5" numFmtId="0" xfId="0" applyBorder="1" applyFont="1"/>
    <xf borderId="1" fillId="6" fontId="5" numFmtId="0" xfId="0" applyBorder="1" applyFont="1"/>
    <xf borderId="0" fillId="0" fontId="6" numFmtId="0" xfId="0" applyAlignment="1" applyFont="1">
      <alignment readingOrder="0"/>
    </xf>
    <xf borderId="1" fillId="0" fontId="5" numFmtId="0" xfId="0" applyBorder="1" applyFont="1"/>
    <xf borderId="2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10" fontId="5" numFmtId="0" xfId="0" applyAlignment="1" applyFill="1" applyFont="1">
      <alignment readingOrder="0"/>
    </xf>
    <xf borderId="0" fillId="10" fontId="5" numFmtId="0" xfId="0" applyFont="1"/>
    <xf borderId="1" fillId="10" fontId="5" numFmtId="0" xfId="0" applyAlignment="1" applyBorder="1" applyFont="1">
      <alignment horizontal="center"/>
    </xf>
    <xf borderId="1" fillId="10" fontId="5" numFmtId="0" xfId="0" applyAlignment="1" applyBorder="1" applyFont="1">
      <alignment horizontal="center" readingOrder="0"/>
    </xf>
    <xf borderId="5" fillId="10" fontId="5" numFmtId="0" xfId="0" applyAlignment="1" applyBorder="1" applyFont="1">
      <alignment horizontal="center" readingOrder="0" vertical="center"/>
    </xf>
    <xf borderId="0" fillId="2" fontId="5" numFmtId="0" xfId="0" applyAlignment="1" applyFont="1">
      <alignment readingOrder="0"/>
    </xf>
    <xf borderId="0" fillId="2" fontId="5" numFmtId="0" xfId="0" applyFont="1"/>
    <xf borderId="0" fillId="2" fontId="5" numFmtId="0" xfId="0" applyAlignment="1" applyFont="1">
      <alignment readingOrder="0" shrinkToFit="0" wrapText="1"/>
    </xf>
    <xf borderId="0" fillId="11" fontId="5" numFmtId="0" xfId="0" applyAlignment="1" applyFill="1" applyFont="1">
      <alignment readingOrder="0"/>
    </xf>
    <xf borderId="0" fillId="11" fontId="5" numFmtId="0" xfId="0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12" fontId="8" numFmtId="0" xfId="0" applyAlignment="1" applyFill="1" applyFont="1">
      <alignment readingOrder="0"/>
    </xf>
    <xf borderId="0" fillId="12" fontId="1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2" numFmtId="0" xfId="0" applyAlignment="1" applyFont="1">
      <alignment horizontal="left" readingOrder="0" vertical="center"/>
    </xf>
    <xf borderId="0" fillId="2" fontId="2" numFmtId="0" xfId="0" applyAlignment="1" applyFont="1">
      <alignment horizontal="left" vertical="center"/>
    </xf>
    <xf borderId="0" fillId="2" fontId="1" numFmtId="0" xfId="0" applyAlignment="1" applyFont="1">
      <alignment horizontal="left" vertical="center"/>
    </xf>
    <xf borderId="0" fillId="2" fontId="1" numFmtId="0" xfId="0" applyAlignment="1" applyFont="1">
      <alignment horizontal="left" readingOrder="0" vertical="center"/>
    </xf>
    <xf borderId="0" fillId="2" fontId="2" numFmtId="0" xfId="0" applyAlignment="1" applyFont="1">
      <alignment horizontal="left" readingOrder="0" shrinkToFit="0" vertical="center" wrapText="1"/>
    </xf>
    <xf borderId="8" fillId="2" fontId="2" numFmtId="0" xfId="0" applyAlignment="1" applyBorder="1" applyFont="1">
      <alignment horizontal="left" readingOrder="0" vertical="center"/>
    </xf>
    <xf borderId="9" fillId="2" fontId="2" numFmtId="0" xfId="0" applyAlignment="1" applyBorder="1" applyFont="1">
      <alignment horizontal="left" readingOrder="0" vertical="center"/>
    </xf>
    <xf borderId="10" fillId="2" fontId="2" numFmtId="0" xfId="0" applyAlignment="1" applyBorder="1" applyFont="1">
      <alignment horizontal="left" readingOrder="0" vertical="center"/>
    </xf>
    <xf borderId="11" fillId="2" fontId="2" numFmtId="0" xfId="0" applyAlignment="1" applyBorder="1" applyFont="1">
      <alignment horizontal="left" readingOrder="0" vertical="center"/>
    </xf>
    <xf borderId="12" fillId="2" fontId="2" numFmtId="0" xfId="0" applyAlignment="1" applyBorder="1" applyFont="1">
      <alignment horizontal="left" readingOrder="0" vertical="center"/>
    </xf>
    <xf borderId="13" fillId="2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8</xdr:row>
      <xdr:rowOff>171450</xdr:rowOff>
    </xdr:from>
    <xdr:ext cx="8315325" cy="2895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ppRwl1hK2qxZuxZVyanTeVv9eW13jvSKFkbN3qqR4vE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13.38"/>
    <col customWidth="1" min="3" max="3" width="47.63"/>
    <col customWidth="1" min="4" max="4" width="28.38"/>
    <col customWidth="1" min="5" max="5" width="38.75"/>
    <col customWidth="1" min="6" max="6" width="23.88"/>
    <col customWidth="1" min="7" max="7" width="12.13"/>
    <col customWidth="1" min="8" max="8" width="10.63"/>
    <col customWidth="1" min="9" max="9" width="10.38"/>
  </cols>
  <sheetData>
    <row r="1">
      <c r="A1" s="1"/>
      <c r="B1" s="2"/>
      <c r="C1" s="3"/>
      <c r="D1" s="3"/>
      <c r="E1" s="3"/>
      <c r="F1" s="4"/>
      <c r="G1" s="4"/>
      <c r="H1" s="5" t="s">
        <v>0</v>
      </c>
      <c r="I1" s="6"/>
      <c r="J1" s="6"/>
      <c r="K1" s="6"/>
      <c r="L1" s="7"/>
      <c r="M1" s="8" t="s">
        <v>1</v>
      </c>
      <c r="N1" s="6"/>
      <c r="O1" s="6"/>
      <c r="P1" s="6"/>
      <c r="Q1" s="7"/>
      <c r="R1" s="9" t="s">
        <v>2</v>
      </c>
      <c r="S1" s="6"/>
      <c r="T1" s="6"/>
      <c r="U1" s="6"/>
      <c r="V1" s="7"/>
      <c r="W1" s="10" t="s">
        <v>3</v>
      </c>
      <c r="X1" s="6"/>
      <c r="Y1" s="6"/>
      <c r="Z1" s="6"/>
      <c r="AA1" s="7"/>
      <c r="AB1" s="11" t="s">
        <v>4</v>
      </c>
      <c r="AC1" s="6"/>
      <c r="AD1" s="6"/>
      <c r="AE1" s="6"/>
      <c r="AF1" s="7"/>
      <c r="AG1" s="12" t="s">
        <v>5</v>
      </c>
      <c r="AH1" s="6"/>
      <c r="AI1" s="6"/>
      <c r="AJ1" s="6"/>
      <c r="AK1" s="7"/>
    </row>
    <row r="2">
      <c r="A2" s="1" t="s">
        <v>6</v>
      </c>
      <c r="B2" s="2"/>
      <c r="C2" s="3" t="s">
        <v>7</v>
      </c>
      <c r="D2" s="3" t="s">
        <v>8</v>
      </c>
      <c r="E2" s="3" t="s">
        <v>9</v>
      </c>
      <c r="F2" s="3" t="s">
        <v>10</v>
      </c>
      <c r="G2" s="4"/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4" t="s">
        <v>11</v>
      </c>
      <c r="S2" s="14" t="s">
        <v>12</v>
      </c>
      <c r="T2" s="14" t="s">
        <v>13</v>
      </c>
      <c r="U2" s="14" t="s">
        <v>14</v>
      </c>
      <c r="V2" s="14" t="s">
        <v>15</v>
      </c>
      <c r="W2" s="3" t="s">
        <v>11</v>
      </c>
      <c r="X2" s="3" t="s">
        <v>12</v>
      </c>
      <c r="Y2" s="3" t="s">
        <v>13</v>
      </c>
      <c r="Z2" s="3" t="s">
        <v>14</v>
      </c>
      <c r="AA2" s="3" t="s">
        <v>15</v>
      </c>
      <c r="AB2" s="15" t="s">
        <v>11</v>
      </c>
      <c r="AC2" s="15" t="s">
        <v>12</v>
      </c>
      <c r="AD2" s="15" t="s">
        <v>13</v>
      </c>
      <c r="AE2" s="15" t="s">
        <v>14</v>
      </c>
      <c r="AF2" s="15" t="s">
        <v>15</v>
      </c>
      <c r="AG2" s="16" t="s">
        <v>11</v>
      </c>
      <c r="AH2" s="16" t="s">
        <v>12</v>
      </c>
      <c r="AI2" s="16" t="s">
        <v>13</v>
      </c>
      <c r="AJ2" s="16" t="s">
        <v>14</v>
      </c>
      <c r="AK2" s="16" t="s">
        <v>15</v>
      </c>
    </row>
    <row r="3">
      <c r="A3" s="17" t="s">
        <v>16</v>
      </c>
      <c r="B3" s="17" t="s">
        <v>17</v>
      </c>
      <c r="C3" s="18" t="s">
        <v>18</v>
      </c>
      <c r="D3" s="18">
        <v>1.0</v>
      </c>
      <c r="E3" s="18" t="s">
        <v>19</v>
      </c>
      <c r="F3" s="18">
        <v>1.0</v>
      </c>
      <c r="G3" s="19" t="s">
        <v>20</v>
      </c>
      <c r="H3" s="2"/>
      <c r="I3" s="2"/>
      <c r="J3" s="2"/>
      <c r="K3" s="2"/>
      <c r="L3" s="2"/>
      <c r="M3" s="20"/>
      <c r="N3" s="20"/>
      <c r="O3" s="20"/>
      <c r="P3" s="20"/>
      <c r="Q3" s="20"/>
      <c r="R3" s="21"/>
      <c r="S3" s="21"/>
      <c r="T3" s="21"/>
      <c r="U3" s="21"/>
      <c r="V3" s="21"/>
      <c r="W3" s="22"/>
      <c r="X3" s="22"/>
      <c r="Y3" s="22"/>
      <c r="Z3" s="22"/>
      <c r="AA3" s="22"/>
      <c r="AB3" s="23">
        <v>0.4098</v>
      </c>
      <c r="AC3" s="23">
        <v>0.5738</v>
      </c>
      <c r="AD3" s="23">
        <v>0.623</v>
      </c>
      <c r="AE3" s="23">
        <v>0.6721</v>
      </c>
      <c r="AF3" s="23">
        <v>0.7213</v>
      </c>
      <c r="AG3" s="24">
        <v>0.4098</v>
      </c>
      <c r="AH3" s="24">
        <v>0.5082</v>
      </c>
      <c r="AI3" s="24">
        <v>0.623</v>
      </c>
      <c r="AJ3" s="24">
        <v>0.7049</v>
      </c>
      <c r="AK3" s="24">
        <v>0.7377</v>
      </c>
    </row>
    <row r="4">
      <c r="A4" s="25"/>
      <c r="B4" s="25"/>
      <c r="C4" s="18" t="s">
        <v>21</v>
      </c>
      <c r="D4" s="18">
        <v>1.0</v>
      </c>
      <c r="E4" s="18" t="s">
        <v>22</v>
      </c>
      <c r="F4" s="18">
        <v>1.0</v>
      </c>
      <c r="G4" s="25"/>
      <c r="H4" s="4"/>
      <c r="I4" s="2"/>
      <c r="J4" s="2"/>
      <c r="K4" s="2"/>
      <c r="L4" s="2"/>
      <c r="M4" s="20"/>
      <c r="N4" s="20"/>
      <c r="O4" s="20"/>
      <c r="P4" s="20"/>
      <c r="Q4" s="20"/>
      <c r="R4" s="21"/>
      <c r="S4" s="21"/>
      <c r="T4" s="21"/>
      <c r="U4" s="21"/>
      <c r="V4" s="21"/>
      <c r="W4" s="22"/>
      <c r="X4" s="22"/>
      <c r="Y4" s="22"/>
      <c r="Z4" s="22"/>
      <c r="AA4" s="22"/>
      <c r="AB4" s="23">
        <v>0.3607</v>
      </c>
      <c r="AC4" s="23">
        <v>0.459</v>
      </c>
      <c r="AD4" s="23">
        <v>0.6066</v>
      </c>
      <c r="AE4" s="23">
        <v>0.6557</v>
      </c>
      <c r="AF4" s="23">
        <v>0.6885</v>
      </c>
      <c r="AG4" s="24">
        <v>0.2951</v>
      </c>
      <c r="AH4" s="24">
        <v>0.4754</v>
      </c>
      <c r="AI4" s="24">
        <v>0.5902</v>
      </c>
      <c r="AJ4" s="24">
        <v>0.6393</v>
      </c>
      <c r="AK4" s="24">
        <v>0.7049</v>
      </c>
    </row>
    <row r="5">
      <c r="A5" s="25"/>
      <c r="B5" s="25"/>
      <c r="C5" s="18" t="s">
        <v>23</v>
      </c>
      <c r="D5" s="18">
        <v>1.0</v>
      </c>
      <c r="E5" s="18" t="s">
        <v>24</v>
      </c>
      <c r="F5" s="18">
        <v>1.0</v>
      </c>
      <c r="G5" s="25"/>
      <c r="H5" s="4"/>
      <c r="I5" s="2"/>
      <c r="J5" s="2"/>
      <c r="K5" s="2"/>
      <c r="L5" s="2"/>
      <c r="M5" s="20"/>
      <c r="N5" s="20"/>
      <c r="O5" s="20"/>
      <c r="P5" s="20"/>
      <c r="Q5" s="20"/>
      <c r="R5" s="21"/>
      <c r="S5" s="21"/>
      <c r="T5" s="21"/>
      <c r="U5" s="21"/>
      <c r="V5" s="21"/>
      <c r="W5" s="22"/>
      <c r="X5" s="22"/>
      <c r="Y5" s="22"/>
      <c r="Z5" s="22"/>
      <c r="AA5" s="22"/>
      <c r="AB5" s="23">
        <v>0.4918</v>
      </c>
      <c r="AC5" s="23">
        <v>0.5902</v>
      </c>
      <c r="AD5" s="23">
        <v>0.6885</v>
      </c>
      <c r="AE5" s="23">
        <v>0.7213</v>
      </c>
      <c r="AF5" s="23">
        <v>0.7377</v>
      </c>
      <c r="AG5" s="24">
        <v>0.4918</v>
      </c>
      <c r="AH5" s="24">
        <v>0.5902</v>
      </c>
      <c r="AI5" s="24">
        <v>0.6557</v>
      </c>
      <c r="AJ5" s="24">
        <v>0.7049</v>
      </c>
      <c r="AK5" s="24">
        <v>0.7049</v>
      </c>
    </row>
    <row r="6">
      <c r="A6" s="25"/>
      <c r="B6" s="25"/>
      <c r="C6" s="18" t="s">
        <v>25</v>
      </c>
      <c r="D6" s="18">
        <v>1.0</v>
      </c>
      <c r="E6" s="18" t="s">
        <v>26</v>
      </c>
      <c r="F6" s="18">
        <v>1.0</v>
      </c>
      <c r="G6" s="25"/>
      <c r="H6" s="2"/>
      <c r="I6" s="2"/>
      <c r="J6" s="2"/>
      <c r="K6" s="2"/>
      <c r="L6" s="2"/>
      <c r="M6" s="20"/>
      <c r="N6" s="20"/>
      <c r="O6" s="20"/>
      <c r="P6" s="20"/>
      <c r="Q6" s="20"/>
      <c r="R6" s="21"/>
      <c r="S6" s="21"/>
      <c r="T6" s="21"/>
      <c r="U6" s="21"/>
      <c r="V6" s="21"/>
      <c r="W6" s="22"/>
      <c r="X6" s="22"/>
      <c r="Y6" s="22"/>
      <c r="Z6" s="22"/>
      <c r="AA6" s="22"/>
      <c r="AB6" s="23">
        <v>0.4098</v>
      </c>
      <c r="AC6" s="23">
        <v>0.5082</v>
      </c>
      <c r="AD6" s="23">
        <v>0.6557</v>
      </c>
      <c r="AE6" s="23">
        <v>0.7377</v>
      </c>
      <c r="AF6" s="23">
        <v>0.7541</v>
      </c>
      <c r="AG6" s="24">
        <v>0.3934</v>
      </c>
      <c r="AH6" s="24">
        <v>0.5082</v>
      </c>
      <c r="AI6" s="24">
        <v>0.5902</v>
      </c>
      <c r="AJ6" s="24">
        <v>0.6557</v>
      </c>
      <c r="AK6" s="24">
        <v>0.6721</v>
      </c>
    </row>
    <row r="7">
      <c r="A7" s="25"/>
      <c r="B7" s="25"/>
      <c r="C7" s="18" t="s">
        <v>27</v>
      </c>
      <c r="D7" s="18">
        <v>1.0</v>
      </c>
      <c r="E7" s="18" t="s">
        <v>28</v>
      </c>
      <c r="F7" s="18">
        <v>1.0</v>
      </c>
      <c r="G7" s="25"/>
      <c r="H7" s="2"/>
      <c r="I7" s="2"/>
      <c r="J7" s="2"/>
      <c r="K7" s="2"/>
      <c r="L7" s="2"/>
      <c r="M7" s="20"/>
      <c r="N7" s="20"/>
      <c r="O7" s="20"/>
      <c r="P7" s="20"/>
      <c r="Q7" s="20"/>
      <c r="R7" s="21"/>
      <c r="S7" s="21"/>
      <c r="T7" s="21"/>
      <c r="U7" s="21"/>
      <c r="V7" s="21"/>
      <c r="W7" s="22"/>
      <c r="X7" s="22"/>
      <c r="Y7" s="22"/>
      <c r="Z7" s="22"/>
      <c r="AA7" s="22"/>
      <c r="AB7" s="23">
        <v>0.3934</v>
      </c>
      <c r="AC7" s="23">
        <v>0.5246</v>
      </c>
      <c r="AD7" s="23">
        <v>0.6393</v>
      </c>
      <c r="AE7" s="23">
        <v>0.6721</v>
      </c>
      <c r="AF7" s="23">
        <v>0.7213</v>
      </c>
      <c r="AG7" s="24">
        <v>0.3934</v>
      </c>
      <c r="AH7" s="24">
        <v>0.5574</v>
      </c>
      <c r="AI7" s="24">
        <v>0.6066</v>
      </c>
      <c r="AJ7" s="24">
        <v>0.7377</v>
      </c>
      <c r="AK7" s="24">
        <v>0.7541</v>
      </c>
    </row>
    <row r="8">
      <c r="A8" s="25"/>
      <c r="B8" s="25"/>
      <c r="C8" s="18" t="s">
        <v>29</v>
      </c>
      <c r="D8" s="18">
        <v>1.0</v>
      </c>
      <c r="E8" s="18" t="s">
        <v>30</v>
      </c>
      <c r="F8" s="18">
        <v>1.0</v>
      </c>
      <c r="G8" s="25"/>
      <c r="H8" s="2"/>
      <c r="I8" s="2"/>
      <c r="J8" s="2"/>
      <c r="K8" s="2"/>
      <c r="L8" s="2"/>
      <c r="M8" s="20"/>
      <c r="N8" s="20"/>
      <c r="O8" s="20"/>
      <c r="P8" s="20"/>
      <c r="Q8" s="20"/>
      <c r="R8" s="21"/>
      <c r="S8" s="21"/>
      <c r="T8" s="21"/>
      <c r="U8" s="21"/>
      <c r="V8" s="21"/>
      <c r="W8" s="22"/>
      <c r="X8" s="22"/>
      <c r="Y8" s="22"/>
      <c r="Z8" s="22"/>
      <c r="AA8" s="22"/>
      <c r="AB8" s="23">
        <v>0.459</v>
      </c>
      <c r="AC8" s="23">
        <v>0.6557</v>
      </c>
      <c r="AD8" s="23">
        <v>0.7213</v>
      </c>
      <c r="AE8" s="23">
        <v>0.7869</v>
      </c>
      <c r="AF8" s="23">
        <v>0.8033</v>
      </c>
      <c r="AG8" s="24">
        <v>0.4754</v>
      </c>
      <c r="AH8" s="24">
        <v>0.5738</v>
      </c>
      <c r="AI8" s="24">
        <v>0.623</v>
      </c>
      <c r="AJ8" s="24">
        <v>0.6885</v>
      </c>
      <c r="AK8" s="24">
        <v>0.7541</v>
      </c>
    </row>
    <row r="9">
      <c r="A9" s="25"/>
      <c r="B9" s="25"/>
      <c r="C9" s="18" t="s">
        <v>31</v>
      </c>
      <c r="D9" s="18">
        <v>1.0</v>
      </c>
      <c r="E9" s="18" t="s">
        <v>32</v>
      </c>
      <c r="F9" s="18">
        <v>1.0</v>
      </c>
      <c r="G9" s="25"/>
      <c r="H9" s="2"/>
      <c r="I9" s="2"/>
      <c r="J9" s="2"/>
      <c r="K9" s="2"/>
      <c r="L9" s="2"/>
      <c r="M9" s="20"/>
      <c r="N9" s="20"/>
      <c r="O9" s="20"/>
      <c r="P9" s="20"/>
      <c r="Q9" s="20"/>
      <c r="R9" s="21"/>
      <c r="S9" s="21"/>
      <c r="T9" s="21"/>
      <c r="U9" s="21"/>
      <c r="V9" s="21"/>
      <c r="W9" s="22"/>
      <c r="X9" s="22"/>
      <c r="Y9" s="22"/>
      <c r="Z9" s="22"/>
      <c r="AA9" s="22"/>
      <c r="AB9" s="23">
        <v>0.3279</v>
      </c>
      <c r="AC9" s="23">
        <v>0.4426</v>
      </c>
      <c r="AD9" s="23">
        <v>0.541</v>
      </c>
      <c r="AE9" s="23">
        <v>0.5738</v>
      </c>
      <c r="AF9" s="23">
        <v>0.6393</v>
      </c>
      <c r="AG9" s="24">
        <v>0.3443</v>
      </c>
      <c r="AH9" s="24">
        <v>0.4426</v>
      </c>
      <c r="AI9" s="24">
        <v>0.5082</v>
      </c>
      <c r="AJ9" s="24">
        <v>0.5738</v>
      </c>
      <c r="AK9" s="24">
        <v>0.623</v>
      </c>
    </row>
    <row r="10">
      <c r="A10" s="25"/>
      <c r="B10" s="25"/>
      <c r="C10" s="18" t="s">
        <v>33</v>
      </c>
      <c r="D10" s="18">
        <v>1.0</v>
      </c>
      <c r="E10" s="18" t="s">
        <v>34</v>
      </c>
      <c r="F10" s="18">
        <v>1.0</v>
      </c>
      <c r="G10" s="25"/>
      <c r="H10" s="2"/>
      <c r="I10" s="2"/>
      <c r="J10" s="2"/>
      <c r="K10" s="2"/>
      <c r="L10" s="2"/>
      <c r="M10" s="20"/>
      <c r="N10" s="20"/>
      <c r="O10" s="20"/>
      <c r="P10" s="20"/>
      <c r="Q10" s="20"/>
      <c r="R10" s="21"/>
      <c r="S10" s="21"/>
      <c r="T10" s="21"/>
      <c r="U10" s="21"/>
      <c r="V10" s="21"/>
      <c r="W10" s="22"/>
      <c r="X10" s="22"/>
      <c r="Y10" s="22"/>
      <c r="Z10" s="22"/>
      <c r="AA10" s="22"/>
      <c r="AB10" s="23">
        <v>0.541</v>
      </c>
      <c r="AC10" s="23">
        <v>0.5902</v>
      </c>
      <c r="AD10" s="23">
        <v>0.6557</v>
      </c>
      <c r="AE10" s="23">
        <v>0.6885</v>
      </c>
      <c r="AF10" s="23">
        <v>0.7049</v>
      </c>
      <c r="AG10" s="24">
        <v>0.4426</v>
      </c>
      <c r="AH10" s="24">
        <v>0.6066</v>
      </c>
      <c r="AI10" s="24">
        <v>0.6721</v>
      </c>
      <c r="AJ10" s="24">
        <v>0.7869</v>
      </c>
      <c r="AK10" s="24">
        <v>0.8033</v>
      </c>
    </row>
    <row r="11">
      <c r="A11" s="25"/>
      <c r="B11" s="25"/>
      <c r="C11" s="17" t="s">
        <v>35</v>
      </c>
      <c r="D11" s="18">
        <v>1.0</v>
      </c>
      <c r="E11" s="17" t="s">
        <v>36</v>
      </c>
      <c r="F11" s="18">
        <v>1.0</v>
      </c>
      <c r="G11" s="26"/>
      <c r="H11" s="27"/>
      <c r="I11" s="27"/>
      <c r="J11" s="27"/>
      <c r="K11" s="27"/>
      <c r="L11" s="27"/>
      <c r="M11" s="28"/>
      <c r="N11" s="28"/>
      <c r="O11" s="28"/>
      <c r="P11" s="28"/>
      <c r="Q11" s="28"/>
      <c r="R11" s="29"/>
      <c r="S11" s="29"/>
      <c r="T11" s="29"/>
      <c r="U11" s="29"/>
      <c r="V11" s="29"/>
      <c r="W11" s="30"/>
      <c r="X11" s="30"/>
      <c r="Y11" s="30"/>
      <c r="Z11" s="30"/>
      <c r="AA11" s="30"/>
      <c r="AB11" s="31">
        <v>0.459</v>
      </c>
      <c r="AC11" s="31">
        <v>0.5246</v>
      </c>
      <c r="AD11" s="31">
        <v>0.6721</v>
      </c>
      <c r="AE11" s="31">
        <v>0.7049</v>
      </c>
      <c r="AF11" s="31">
        <v>0.7541</v>
      </c>
      <c r="AG11" s="32">
        <v>0.4754</v>
      </c>
      <c r="AH11" s="32">
        <v>0.5902</v>
      </c>
      <c r="AI11" s="32">
        <v>0.6721</v>
      </c>
      <c r="AJ11" s="32">
        <v>0.6885</v>
      </c>
      <c r="AK11" s="32">
        <v>0.7213</v>
      </c>
    </row>
    <row r="12">
      <c r="A12" s="25"/>
      <c r="B12" s="25"/>
      <c r="C12" s="33" t="s">
        <v>37</v>
      </c>
      <c r="D12" s="33"/>
      <c r="E12" s="33"/>
      <c r="F12" s="34"/>
      <c r="G12" s="34"/>
      <c r="H12" s="35"/>
      <c r="I12" s="35"/>
      <c r="J12" s="35"/>
      <c r="K12" s="35"/>
      <c r="L12" s="35"/>
      <c r="M12" s="36"/>
      <c r="N12" s="36"/>
      <c r="O12" s="36"/>
      <c r="P12" s="36"/>
      <c r="Q12" s="36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7">
        <f t="shared" ref="AB12:AK12" si="1">AVERAGE(AB3:AB11)</f>
        <v>0.4280444444</v>
      </c>
      <c r="AC12" s="37">
        <f t="shared" si="1"/>
        <v>0.5409888889</v>
      </c>
      <c r="AD12" s="37">
        <f t="shared" si="1"/>
        <v>0.6448</v>
      </c>
      <c r="AE12" s="37">
        <f t="shared" si="1"/>
        <v>0.6903333333</v>
      </c>
      <c r="AF12" s="37">
        <f t="shared" si="1"/>
        <v>0.7249444444</v>
      </c>
      <c r="AG12" s="37">
        <f t="shared" si="1"/>
        <v>0.4134666667</v>
      </c>
      <c r="AH12" s="37">
        <f t="shared" si="1"/>
        <v>0.5391777778</v>
      </c>
      <c r="AI12" s="37">
        <f t="shared" si="1"/>
        <v>0.6156777778</v>
      </c>
      <c r="AJ12" s="37">
        <f t="shared" si="1"/>
        <v>0.6866888889</v>
      </c>
      <c r="AK12" s="37">
        <f t="shared" si="1"/>
        <v>0.7194888889</v>
      </c>
    </row>
    <row r="13">
      <c r="A13" s="25"/>
      <c r="B13" s="25"/>
      <c r="C13" s="33" t="s">
        <v>38</v>
      </c>
      <c r="D13" s="33"/>
      <c r="E13" s="33"/>
      <c r="F13" s="34"/>
      <c r="G13" s="34"/>
      <c r="H13" s="35"/>
      <c r="I13" s="35"/>
      <c r="J13" s="35"/>
      <c r="K13" s="35"/>
      <c r="L13" s="35"/>
      <c r="M13" s="36"/>
      <c r="N13" s="36"/>
      <c r="O13" s="36"/>
      <c r="P13" s="36"/>
      <c r="Q13" s="36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7">
        <f t="shared" ref="AB13:AK13" si="2">STDEV(AB3:AB11)</f>
        <v>0.06630456453</v>
      </c>
      <c r="AC13" s="37">
        <f t="shared" si="2"/>
        <v>0.06809325305</v>
      </c>
      <c r="AD13" s="37">
        <f t="shared" si="2"/>
        <v>0.0518218342</v>
      </c>
      <c r="AE13" s="37">
        <f t="shared" si="2"/>
        <v>0.05935865565</v>
      </c>
      <c r="AF13" s="37">
        <f t="shared" si="2"/>
        <v>0.04622486104</v>
      </c>
      <c r="AG13" s="37">
        <f t="shared" si="2"/>
        <v>0.06545019099</v>
      </c>
      <c r="AH13" s="37">
        <f t="shared" si="2"/>
        <v>0.05765972983</v>
      </c>
      <c r="AI13" s="37">
        <f t="shared" si="2"/>
        <v>0.05124457966</v>
      </c>
      <c r="AJ13" s="37">
        <f t="shared" si="2"/>
        <v>0.06048157663</v>
      </c>
      <c r="AK13" s="37">
        <f t="shared" si="2"/>
        <v>0.05212553224</v>
      </c>
    </row>
    <row r="14">
      <c r="A14" s="25"/>
      <c r="B14" s="38" t="s">
        <v>39</v>
      </c>
      <c r="C14" s="39" t="s">
        <v>19</v>
      </c>
      <c r="D14" s="18">
        <v>1.0</v>
      </c>
      <c r="E14" s="39" t="s">
        <v>18</v>
      </c>
      <c r="F14" s="18">
        <v>1.0</v>
      </c>
      <c r="G14" s="19" t="s">
        <v>20</v>
      </c>
      <c r="H14" s="40"/>
      <c r="I14" s="40"/>
      <c r="J14" s="40"/>
      <c r="K14" s="40"/>
      <c r="L14" s="40"/>
      <c r="M14" s="41"/>
      <c r="N14" s="41"/>
      <c r="O14" s="41"/>
      <c r="P14" s="41"/>
      <c r="Q14" s="41"/>
      <c r="R14" s="42"/>
      <c r="S14" s="42"/>
      <c r="T14" s="42"/>
      <c r="U14" s="42"/>
      <c r="V14" s="42"/>
      <c r="W14" s="43"/>
      <c r="X14" s="43"/>
      <c r="Y14" s="43"/>
      <c r="Z14" s="43"/>
      <c r="AA14" s="43"/>
      <c r="AB14" s="44">
        <v>0.3607</v>
      </c>
      <c r="AC14" s="44">
        <v>0.5574</v>
      </c>
      <c r="AD14" s="44">
        <v>0.7049</v>
      </c>
      <c r="AE14" s="44">
        <v>0.7377</v>
      </c>
      <c r="AF14" s="44">
        <v>0.7541</v>
      </c>
      <c r="AG14" s="45">
        <v>0.3443</v>
      </c>
      <c r="AH14" s="45">
        <v>0.5246</v>
      </c>
      <c r="AI14" s="45">
        <v>0.6066</v>
      </c>
      <c r="AJ14" s="45">
        <v>0.6393</v>
      </c>
      <c r="AK14" s="45">
        <v>0.6721</v>
      </c>
    </row>
    <row r="15">
      <c r="A15" s="25"/>
      <c r="B15" s="25"/>
      <c r="C15" s="18" t="s">
        <v>22</v>
      </c>
      <c r="D15" s="18">
        <v>1.0</v>
      </c>
      <c r="E15" s="18" t="s">
        <v>21</v>
      </c>
      <c r="F15" s="18">
        <v>1.0</v>
      </c>
      <c r="G15" s="25"/>
      <c r="H15" s="2"/>
      <c r="I15" s="2"/>
      <c r="J15" s="2"/>
      <c r="K15" s="2"/>
      <c r="L15" s="2"/>
      <c r="M15" s="20"/>
      <c r="N15" s="20"/>
      <c r="O15" s="20"/>
      <c r="P15" s="20"/>
      <c r="Q15" s="20"/>
      <c r="R15" s="21"/>
      <c r="S15" s="21"/>
      <c r="T15" s="21"/>
      <c r="U15" s="21"/>
      <c r="V15" s="21"/>
      <c r="W15" s="22"/>
      <c r="X15" s="22"/>
      <c r="Y15" s="22"/>
      <c r="Z15" s="22"/>
      <c r="AA15" s="22"/>
      <c r="AB15" s="23">
        <v>0.3607</v>
      </c>
      <c r="AC15" s="23">
        <v>0.5246</v>
      </c>
      <c r="AD15" s="23">
        <v>0.6885</v>
      </c>
      <c r="AE15" s="23">
        <v>0.7213</v>
      </c>
      <c r="AF15" s="23">
        <v>0.7377</v>
      </c>
      <c r="AG15" s="24">
        <v>0.3115</v>
      </c>
      <c r="AH15" s="24">
        <v>0.4262</v>
      </c>
      <c r="AI15" s="24">
        <v>0.5246</v>
      </c>
      <c r="AJ15" s="24">
        <v>0.5902</v>
      </c>
      <c r="AK15" s="24">
        <v>0.6557</v>
      </c>
    </row>
    <row r="16">
      <c r="A16" s="25"/>
      <c r="B16" s="25"/>
      <c r="C16" s="18" t="s">
        <v>24</v>
      </c>
      <c r="D16" s="18">
        <v>1.0</v>
      </c>
      <c r="E16" s="18" t="s">
        <v>23</v>
      </c>
      <c r="F16" s="18">
        <v>1.0</v>
      </c>
      <c r="G16" s="25"/>
      <c r="H16" s="2"/>
      <c r="I16" s="2"/>
      <c r="J16" s="2"/>
      <c r="K16" s="2"/>
      <c r="L16" s="2"/>
      <c r="M16" s="20"/>
      <c r="N16" s="20"/>
      <c r="O16" s="20"/>
      <c r="P16" s="20"/>
      <c r="Q16" s="20"/>
      <c r="R16" s="21"/>
      <c r="S16" s="21"/>
      <c r="T16" s="21"/>
      <c r="U16" s="21"/>
      <c r="V16" s="21"/>
      <c r="W16" s="22"/>
      <c r="X16" s="22"/>
      <c r="Y16" s="22"/>
      <c r="Z16" s="22"/>
      <c r="AA16" s="22"/>
      <c r="AB16" s="23">
        <v>0.4918</v>
      </c>
      <c r="AC16" s="23">
        <v>0.6393</v>
      </c>
      <c r="AD16" s="23">
        <v>0.7049</v>
      </c>
      <c r="AE16" s="23">
        <v>0.7049</v>
      </c>
      <c r="AF16" s="23">
        <v>0.7541</v>
      </c>
      <c r="AG16" s="24">
        <v>0.377</v>
      </c>
      <c r="AH16" s="24">
        <v>0.5574</v>
      </c>
      <c r="AI16" s="24">
        <v>0.6721</v>
      </c>
      <c r="AJ16" s="24">
        <v>0.7213</v>
      </c>
      <c r="AK16" s="24">
        <v>0.7705</v>
      </c>
    </row>
    <row r="17">
      <c r="A17" s="25"/>
      <c r="B17" s="25"/>
      <c r="C17" s="18" t="s">
        <v>26</v>
      </c>
      <c r="D17" s="18">
        <v>1.0</v>
      </c>
      <c r="E17" s="18" t="s">
        <v>25</v>
      </c>
      <c r="F17" s="18">
        <v>1.0</v>
      </c>
      <c r="G17" s="25"/>
      <c r="H17" s="2"/>
      <c r="I17" s="2"/>
      <c r="J17" s="2"/>
      <c r="K17" s="2"/>
      <c r="L17" s="2"/>
      <c r="M17" s="20"/>
      <c r="N17" s="20"/>
      <c r="O17" s="20"/>
      <c r="P17" s="20"/>
      <c r="Q17" s="20"/>
      <c r="R17" s="21"/>
      <c r="S17" s="21"/>
      <c r="T17" s="21"/>
      <c r="U17" s="21"/>
      <c r="V17" s="21"/>
      <c r="W17" s="22"/>
      <c r="X17" s="22"/>
      <c r="Y17" s="22"/>
      <c r="Z17" s="22"/>
      <c r="AA17" s="22"/>
      <c r="AB17" s="23">
        <v>0.3934</v>
      </c>
      <c r="AC17" s="23">
        <v>0.5902</v>
      </c>
      <c r="AD17" s="23">
        <v>0.6721</v>
      </c>
      <c r="AE17" s="23">
        <v>0.6721</v>
      </c>
      <c r="AF17" s="23">
        <v>0.6721</v>
      </c>
      <c r="AG17" s="24">
        <v>0.3443</v>
      </c>
      <c r="AH17" s="24">
        <v>0.4754</v>
      </c>
      <c r="AI17" s="24">
        <v>0.6066</v>
      </c>
      <c r="AJ17" s="24">
        <v>0.6557</v>
      </c>
      <c r="AK17" s="24">
        <v>0.6885</v>
      </c>
    </row>
    <row r="18">
      <c r="A18" s="25"/>
      <c r="B18" s="25"/>
      <c r="C18" s="18" t="s">
        <v>28</v>
      </c>
      <c r="D18" s="18">
        <v>1.0</v>
      </c>
      <c r="E18" s="18" t="s">
        <v>27</v>
      </c>
      <c r="F18" s="18">
        <v>1.0</v>
      </c>
      <c r="G18" s="25"/>
      <c r="H18" s="2"/>
      <c r="I18" s="2"/>
      <c r="J18" s="2"/>
      <c r="K18" s="2"/>
      <c r="L18" s="2"/>
      <c r="M18" s="20"/>
      <c r="N18" s="20"/>
      <c r="O18" s="20"/>
      <c r="P18" s="20"/>
      <c r="Q18" s="20"/>
      <c r="R18" s="21"/>
      <c r="S18" s="21"/>
      <c r="T18" s="21"/>
      <c r="U18" s="21"/>
      <c r="V18" s="21"/>
      <c r="W18" s="22"/>
      <c r="X18" s="22"/>
      <c r="Y18" s="22"/>
      <c r="Z18" s="22"/>
      <c r="AA18" s="22"/>
      <c r="AB18" s="23">
        <v>0.4754</v>
      </c>
      <c r="AC18" s="23">
        <v>0.5738</v>
      </c>
      <c r="AD18" s="23">
        <v>0.6721</v>
      </c>
      <c r="AE18" s="23">
        <v>0.7213</v>
      </c>
      <c r="AF18" s="23">
        <v>0.7377</v>
      </c>
      <c r="AG18" s="24">
        <v>0.377</v>
      </c>
      <c r="AH18" s="24">
        <v>0.4918</v>
      </c>
      <c r="AI18" s="24">
        <v>0.5574</v>
      </c>
      <c r="AJ18" s="24">
        <v>0.6885</v>
      </c>
      <c r="AK18" s="24">
        <v>0.7541</v>
      </c>
    </row>
    <row r="19">
      <c r="A19" s="25"/>
      <c r="B19" s="25"/>
      <c r="C19" s="18" t="s">
        <v>30</v>
      </c>
      <c r="D19" s="18">
        <v>1.0</v>
      </c>
      <c r="E19" s="18" t="s">
        <v>29</v>
      </c>
      <c r="F19" s="18">
        <v>1.0</v>
      </c>
      <c r="G19" s="25"/>
      <c r="H19" s="2"/>
      <c r="I19" s="2"/>
      <c r="J19" s="2"/>
      <c r="K19" s="2"/>
      <c r="L19" s="2"/>
      <c r="M19" s="20"/>
      <c r="N19" s="20"/>
      <c r="O19" s="20"/>
      <c r="P19" s="20"/>
      <c r="Q19" s="20"/>
      <c r="R19" s="21"/>
      <c r="S19" s="21"/>
      <c r="T19" s="21"/>
      <c r="U19" s="21"/>
      <c r="V19" s="21"/>
      <c r="W19" s="22"/>
      <c r="X19" s="22"/>
      <c r="Y19" s="22"/>
      <c r="Z19" s="22"/>
      <c r="AA19" s="22"/>
      <c r="AB19" s="23">
        <v>0.459</v>
      </c>
      <c r="AC19" s="23">
        <v>0.6557</v>
      </c>
      <c r="AD19" s="23">
        <v>0.7377</v>
      </c>
      <c r="AE19" s="23">
        <v>0.7705</v>
      </c>
      <c r="AF19" s="23">
        <v>0.7869</v>
      </c>
      <c r="AG19" s="24">
        <v>0.4262</v>
      </c>
      <c r="AH19" s="24">
        <v>0.5574</v>
      </c>
      <c r="AI19" s="24">
        <v>0.6557</v>
      </c>
      <c r="AJ19" s="24">
        <v>0.7377</v>
      </c>
      <c r="AK19" s="24">
        <v>0.7705</v>
      </c>
    </row>
    <row r="20">
      <c r="A20" s="25"/>
      <c r="B20" s="25"/>
      <c r="C20" s="18" t="s">
        <v>32</v>
      </c>
      <c r="D20" s="18">
        <v>1.0</v>
      </c>
      <c r="E20" s="18" t="s">
        <v>31</v>
      </c>
      <c r="F20" s="18">
        <v>1.0</v>
      </c>
      <c r="G20" s="25"/>
      <c r="H20" s="2"/>
      <c r="I20" s="2"/>
      <c r="J20" s="2"/>
      <c r="K20" s="2"/>
      <c r="L20" s="2"/>
      <c r="M20" s="20"/>
      <c r="N20" s="20"/>
      <c r="O20" s="20"/>
      <c r="P20" s="20"/>
      <c r="Q20" s="20"/>
      <c r="R20" s="21"/>
      <c r="S20" s="21"/>
      <c r="T20" s="21"/>
      <c r="U20" s="21"/>
      <c r="V20" s="21"/>
      <c r="W20" s="22"/>
      <c r="X20" s="22"/>
      <c r="Y20" s="22"/>
      <c r="Z20" s="22"/>
      <c r="AA20" s="22"/>
      <c r="AB20" s="23">
        <v>0.3279</v>
      </c>
      <c r="AC20" s="23">
        <v>0.4754</v>
      </c>
      <c r="AD20" s="23">
        <v>0.623</v>
      </c>
      <c r="AE20" s="23">
        <v>0.6557</v>
      </c>
      <c r="AF20" s="23">
        <v>0.6885</v>
      </c>
      <c r="AG20" s="24">
        <v>0.377</v>
      </c>
      <c r="AH20" s="24">
        <v>0.4754</v>
      </c>
      <c r="AI20" s="24">
        <v>0.541</v>
      </c>
      <c r="AJ20" s="24">
        <v>0.5574</v>
      </c>
      <c r="AK20" s="24">
        <v>0.623</v>
      </c>
    </row>
    <row r="21">
      <c r="A21" s="25"/>
      <c r="B21" s="25"/>
      <c r="C21" s="18" t="s">
        <v>34</v>
      </c>
      <c r="D21" s="18">
        <v>1.0</v>
      </c>
      <c r="E21" s="18" t="s">
        <v>33</v>
      </c>
      <c r="F21" s="18">
        <v>1.0</v>
      </c>
      <c r="G21" s="25"/>
      <c r="H21" s="2"/>
      <c r="I21" s="2"/>
      <c r="J21" s="2"/>
      <c r="K21" s="2"/>
      <c r="L21" s="2"/>
      <c r="M21" s="20"/>
      <c r="N21" s="20"/>
      <c r="O21" s="20"/>
      <c r="P21" s="20"/>
      <c r="Q21" s="20"/>
      <c r="R21" s="21"/>
      <c r="S21" s="21"/>
      <c r="T21" s="21"/>
      <c r="U21" s="21"/>
      <c r="V21" s="21"/>
      <c r="W21" s="22"/>
      <c r="X21" s="22"/>
      <c r="Y21" s="22"/>
      <c r="Z21" s="22"/>
      <c r="AA21" s="22"/>
      <c r="AB21" s="23">
        <v>0.4098</v>
      </c>
      <c r="AC21" s="23">
        <v>0.5738</v>
      </c>
      <c r="AD21" s="23">
        <v>0.6557</v>
      </c>
      <c r="AE21" s="23">
        <v>0.7213</v>
      </c>
      <c r="AF21" s="23">
        <v>0.7541</v>
      </c>
      <c r="AG21" s="24">
        <v>0.4098</v>
      </c>
      <c r="AH21" s="24">
        <v>0.5082</v>
      </c>
      <c r="AI21" s="24">
        <v>0.5902</v>
      </c>
      <c r="AJ21" s="24">
        <v>0.6393</v>
      </c>
      <c r="AK21" s="24">
        <v>0.6885</v>
      </c>
    </row>
    <row r="22">
      <c r="A22" s="26"/>
      <c r="B22" s="26"/>
      <c r="C22" s="18" t="s">
        <v>36</v>
      </c>
      <c r="D22" s="18">
        <v>1.0</v>
      </c>
      <c r="E22" s="18" t="s">
        <v>35</v>
      </c>
      <c r="F22" s="18">
        <v>1.0</v>
      </c>
      <c r="G22" s="26"/>
      <c r="H22" s="2"/>
      <c r="I22" s="2"/>
      <c r="J22" s="2"/>
      <c r="K22" s="2"/>
      <c r="L22" s="2"/>
      <c r="M22" s="20"/>
      <c r="N22" s="20"/>
      <c r="O22" s="20"/>
      <c r="P22" s="20"/>
      <c r="Q22" s="20"/>
      <c r="R22" s="21"/>
      <c r="S22" s="21"/>
      <c r="T22" s="21"/>
      <c r="U22" s="21"/>
      <c r="V22" s="21"/>
      <c r="W22" s="22"/>
      <c r="X22" s="22"/>
      <c r="Y22" s="22"/>
      <c r="Z22" s="22"/>
      <c r="AA22" s="22"/>
      <c r="AB22" s="23">
        <v>0.4754</v>
      </c>
      <c r="AC22" s="23">
        <v>0.623</v>
      </c>
      <c r="AD22" s="23">
        <v>0.6721</v>
      </c>
      <c r="AE22" s="23">
        <v>0.7377</v>
      </c>
      <c r="AF22" s="23">
        <v>0.7541</v>
      </c>
      <c r="AG22" s="24">
        <v>0.4098</v>
      </c>
      <c r="AH22" s="24">
        <v>0.541</v>
      </c>
      <c r="AI22" s="24">
        <v>0.623</v>
      </c>
      <c r="AJ22" s="24">
        <v>0.7213</v>
      </c>
      <c r="AK22" s="24">
        <v>0.7705</v>
      </c>
    </row>
    <row r="23">
      <c r="A23" s="33"/>
      <c r="B23" s="35"/>
      <c r="C23" s="33" t="s">
        <v>37</v>
      </c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36"/>
      <c r="O23" s="36"/>
      <c r="P23" s="36"/>
      <c r="Q23" s="36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7">
        <f t="shared" ref="AB23:AK23" si="3">AVERAGE(AB14:AB22)</f>
        <v>0.4171222222</v>
      </c>
      <c r="AC23" s="37">
        <f t="shared" si="3"/>
        <v>0.5792444444</v>
      </c>
      <c r="AD23" s="37">
        <f t="shared" si="3"/>
        <v>0.6812222222</v>
      </c>
      <c r="AE23" s="37">
        <f t="shared" si="3"/>
        <v>0.7158333333</v>
      </c>
      <c r="AF23" s="37">
        <f t="shared" si="3"/>
        <v>0.7377</v>
      </c>
      <c r="AG23" s="37">
        <f t="shared" si="3"/>
        <v>0.3752111111</v>
      </c>
      <c r="AH23" s="37">
        <f t="shared" si="3"/>
        <v>0.5063777778</v>
      </c>
      <c r="AI23" s="37">
        <f t="shared" si="3"/>
        <v>0.5974666667</v>
      </c>
      <c r="AJ23" s="37">
        <f t="shared" si="3"/>
        <v>0.6611888889</v>
      </c>
      <c r="AK23" s="37">
        <f t="shared" si="3"/>
        <v>0.7103777778</v>
      </c>
    </row>
    <row r="24">
      <c r="A24" s="33"/>
      <c r="B24" s="35"/>
      <c r="C24" s="33" t="s">
        <v>38</v>
      </c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36"/>
      <c r="O24" s="36"/>
      <c r="P24" s="36"/>
      <c r="Q24" s="36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7">
        <f t="shared" ref="AB24:AK24" si="4">STDEV(AB14:AB22)</f>
        <v>0.06027749949</v>
      </c>
      <c r="AC24" s="37">
        <f t="shared" si="4"/>
        <v>0.05678120532</v>
      </c>
      <c r="AD24" s="37">
        <f t="shared" si="4"/>
        <v>0.03289155582</v>
      </c>
      <c r="AE24" s="37">
        <f t="shared" si="4"/>
        <v>0.03478965363</v>
      </c>
      <c r="AF24" s="37">
        <f t="shared" si="4"/>
        <v>0.03574297134</v>
      </c>
      <c r="AG24" s="37">
        <f t="shared" si="4"/>
        <v>0.03703435717</v>
      </c>
      <c r="AH24" s="37">
        <f t="shared" si="4"/>
        <v>0.04373333333</v>
      </c>
      <c r="AI24" s="37">
        <f t="shared" si="4"/>
        <v>0.04992021134</v>
      </c>
      <c r="AJ24" s="37">
        <f t="shared" si="4"/>
        <v>0.06187332714</v>
      </c>
      <c r="AK24" s="37">
        <f t="shared" si="4"/>
        <v>0.056792028</v>
      </c>
    </row>
    <row r="25">
      <c r="A25" s="46" t="s">
        <v>37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8"/>
      <c r="N25" s="48"/>
      <c r="O25" s="48"/>
      <c r="P25" s="48"/>
      <c r="Q25" s="48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9">
        <f t="shared" ref="AB25:AK25" si="5">AVERAGE(AB14:AB22,AB3:AB11)</f>
        <v>0.4225833333</v>
      </c>
      <c r="AC25" s="49">
        <f t="shared" si="5"/>
        <v>0.5601166667</v>
      </c>
      <c r="AD25" s="49">
        <f t="shared" si="5"/>
        <v>0.6630111111</v>
      </c>
      <c r="AE25" s="49">
        <f t="shared" si="5"/>
        <v>0.7030833333</v>
      </c>
      <c r="AF25" s="49">
        <f t="shared" si="5"/>
        <v>0.7313222222</v>
      </c>
      <c r="AG25" s="49">
        <f t="shared" si="5"/>
        <v>0.3943388889</v>
      </c>
      <c r="AH25" s="49">
        <f t="shared" si="5"/>
        <v>0.5227777778</v>
      </c>
      <c r="AI25" s="49">
        <f t="shared" si="5"/>
        <v>0.6065722222</v>
      </c>
      <c r="AJ25" s="49">
        <f t="shared" si="5"/>
        <v>0.6739388889</v>
      </c>
      <c r="AK25" s="49">
        <f t="shared" si="5"/>
        <v>0.7149333333</v>
      </c>
    </row>
    <row r="26">
      <c r="A26" s="46" t="s">
        <v>40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8"/>
      <c r="N26" s="48"/>
      <c r="O26" s="48"/>
      <c r="P26" s="48"/>
      <c r="Q26" s="48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9">
        <f t="shared" ref="AB26:AK26" si="6">STDEV(AB14:AB22,AB3:AB11)</f>
        <v>0.06172720108</v>
      </c>
      <c r="AC26" s="49">
        <f t="shared" si="6"/>
        <v>0.06392645821</v>
      </c>
      <c r="AD26" s="49">
        <f t="shared" si="6"/>
        <v>0.04608716663</v>
      </c>
      <c r="AE26" s="49">
        <f t="shared" si="6"/>
        <v>0.04898756445</v>
      </c>
      <c r="AF26" s="49">
        <f t="shared" si="6"/>
        <v>0.04061769472</v>
      </c>
      <c r="AG26" s="49">
        <f t="shared" si="6"/>
        <v>0.05521501436</v>
      </c>
      <c r="AH26" s="49">
        <f t="shared" si="6"/>
        <v>0.05243442465</v>
      </c>
      <c r="AI26" s="49">
        <f t="shared" si="6"/>
        <v>0.04996273677</v>
      </c>
      <c r="AJ26" s="49">
        <f t="shared" si="6"/>
        <v>0.06078736458</v>
      </c>
      <c r="AK26" s="49">
        <f t="shared" si="6"/>
        <v>0.05308860518</v>
      </c>
    </row>
    <row r="27">
      <c r="A27" s="50" t="s">
        <v>41</v>
      </c>
      <c r="B27" s="50" t="s">
        <v>42</v>
      </c>
      <c r="C27" s="51" t="s">
        <v>43</v>
      </c>
      <c r="D27" s="51">
        <v>4.0</v>
      </c>
      <c r="E27" s="51" t="s">
        <v>44</v>
      </c>
      <c r="F27" s="51">
        <v>4.0</v>
      </c>
      <c r="G27" s="52" t="s">
        <v>45</v>
      </c>
      <c r="H27" s="53"/>
      <c r="I27" s="53"/>
      <c r="J27" s="53"/>
      <c r="K27" s="53"/>
      <c r="L27" s="53"/>
      <c r="M27" s="54"/>
      <c r="N27" s="54"/>
      <c r="O27" s="54"/>
      <c r="P27" s="54"/>
      <c r="Q27" s="54"/>
      <c r="R27" s="55"/>
      <c r="S27" s="55"/>
      <c r="T27" s="55"/>
      <c r="U27" s="55"/>
      <c r="V27" s="55"/>
      <c r="W27" s="56"/>
      <c r="X27" s="56"/>
      <c r="Y27" s="56"/>
      <c r="Z27" s="56"/>
      <c r="AA27" s="56"/>
      <c r="AB27" s="57">
        <v>0.0984</v>
      </c>
      <c r="AC27" s="57">
        <v>0.1967</v>
      </c>
      <c r="AD27" s="57">
        <v>0.2787</v>
      </c>
      <c r="AE27" s="57">
        <v>0.3934</v>
      </c>
      <c r="AF27" s="57">
        <v>0.4098</v>
      </c>
      <c r="AG27" s="58">
        <v>0.2787</v>
      </c>
      <c r="AH27" s="58">
        <v>0.4344</v>
      </c>
      <c r="AI27" s="58">
        <v>0.5328</v>
      </c>
      <c r="AJ27" s="58">
        <v>0.5902</v>
      </c>
      <c r="AK27" s="58">
        <v>0.6393</v>
      </c>
    </row>
    <row r="28">
      <c r="A28" s="25"/>
      <c r="B28" s="25"/>
      <c r="C28" s="51" t="s">
        <v>46</v>
      </c>
      <c r="D28" s="51">
        <v>4.0</v>
      </c>
      <c r="E28" s="51" t="s">
        <v>47</v>
      </c>
      <c r="F28" s="51">
        <v>4.0</v>
      </c>
      <c r="G28" s="25"/>
      <c r="H28" s="53"/>
      <c r="I28" s="53"/>
      <c r="J28" s="53"/>
      <c r="K28" s="53"/>
      <c r="L28" s="53"/>
      <c r="M28" s="54"/>
      <c r="N28" s="54"/>
      <c r="O28" s="54"/>
      <c r="P28" s="54"/>
      <c r="Q28" s="54"/>
      <c r="R28" s="55"/>
      <c r="S28" s="55"/>
      <c r="T28" s="55"/>
      <c r="U28" s="55"/>
      <c r="V28" s="55"/>
      <c r="W28" s="56"/>
      <c r="X28" s="56"/>
      <c r="Y28" s="56"/>
      <c r="Z28" s="56"/>
      <c r="AA28" s="56"/>
      <c r="AB28" s="57">
        <v>0.0984</v>
      </c>
      <c r="AC28" s="57">
        <v>0.2295</v>
      </c>
      <c r="AD28" s="57">
        <v>0.3279</v>
      </c>
      <c r="AE28" s="57">
        <v>0.3934</v>
      </c>
      <c r="AF28" s="57">
        <v>0.4426</v>
      </c>
      <c r="AG28" s="58">
        <v>0.2787</v>
      </c>
      <c r="AH28" s="58">
        <v>0.4918</v>
      </c>
      <c r="AI28" s="58">
        <v>0.6393</v>
      </c>
      <c r="AJ28" s="58">
        <v>0.6885</v>
      </c>
      <c r="AK28" s="58">
        <v>0.7623</v>
      </c>
    </row>
    <row r="29">
      <c r="A29" s="25"/>
      <c r="B29" s="25"/>
      <c r="C29" s="51" t="s">
        <v>48</v>
      </c>
      <c r="D29" s="51">
        <v>4.0</v>
      </c>
      <c r="E29" s="51" t="s">
        <v>49</v>
      </c>
      <c r="F29" s="51">
        <v>4.0</v>
      </c>
      <c r="G29" s="25"/>
      <c r="H29" s="53"/>
      <c r="I29" s="53"/>
      <c r="J29" s="53"/>
      <c r="K29" s="53"/>
      <c r="L29" s="53"/>
      <c r="M29" s="54"/>
      <c r="N29" s="54"/>
      <c r="O29" s="54"/>
      <c r="P29" s="54"/>
      <c r="Q29" s="54"/>
      <c r="R29" s="55"/>
      <c r="S29" s="55"/>
      <c r="T29" s="55"/>
      <c r="U29" s="55"/>
      <c r="V29" s="55"/>
      <c r="W29" s="56"/>
      <c r="X29" s="56"/>
      <c r="Y29" s="56"/>
      <c r="Z29" s="56"/>
      <c r="AA29" s="56"/>
      <c r="AB29" s="57">
        <v>0.0656</v>
      </c>
      <c r="AC29" s="57">
        <v>0.1803</v>
      </c>
      <c r="AD29" s="57">
        <v>0.2623</v>
      </c>
      <c r="AE29" s="57">
        <v>0.3279</v>
      </c>
      <c r="AF29" s="57">
        <v>0.3934</v>
      </c>
      <c r="AG29" s="58">
        <v>0.3197</v>
      </c>
      <c r="AH29" s="58">
        <v>0.459</v>
      </c>
      <c r="AI29" s="58">
        <v>0.5656</v>
      </c>
      <c r="AJ29" s="58">
        <v>0.6393</v>
      </c>
      <c r="AK29" s="58">
        <v>0.6885</v>
      </c>
    </row>
    <row r="30">
      <c r="A30" s="25"/>
      <c r="B30" s="25"/>
      <c r="C30" s="51" t="s">
        <v>50</v>
      </c>
      <c r="D30" s="51">
        <v>4.0</v>
      </c>
      <c r="E30" s="51" t="s">
        <v>51</v>
      </c>
      <c r="F30" s="51">
        <v>4.0</v>
      </c>
      <c r="G30" s="25"/>
      <c r="H30" s="53"/>
      <c r="I30" s="53"/>
      <c r="J30" s="53"/>
      <c r="K30" s="53"/>
      <c r="L30" s="53"/>
      <c r="M30" s="54"/>
      <c r="N30" s="54"/>
      <c r="O30" s="54"/>
      <c r="P30" s="54"/>
      <c r="Q30" s="54"/>
      <c r="R30" s="55"/>
      <c r="S30" s="55"/>
      <c r="T30" s="55"/>
      <c r="U30" s="55"/>
      <c r="V30" s="55"/>
      <c r="W30" s="56"/>
      <c r="X30" s="56"/>
      <c r="Y30" s="56"/>
      <c r="Z30" s="56"/>
      <c r="AA30" s="56"/>
      <c r="AB30" s="57">
        <v>0.1148</v>
      </c>
      <c r="AC30" s="57">
        <v>0.1803</v>
      </c>
      <c r="AD30" s="57">
        <v>0.2131</v>
      </c>
      <c r="AE30" s="57">
        <v>0.2459</v>
      </c>
      <c r="AF30" s="57">
        <v>0.3443</v>
      </c>
      <c r="AG30" s="58">
        <v>0.3279</v>
      </c>
      <c r="AH30" s="58">
        <v>0.5</v>
      </c>
      <c r="AI30" s="58">
        <v>0.5738</v>
      </c>
      <c r="AJ30" s="58">
        <v>0.6803</v>
      </c>
      <c r="AK30" s="58">
        <v>0.7049</v>
      </c>
    </row>
    <row r="31">
      <c r="A31" s="25"/>
      <c r="B31" s="25"/>
      <c r="C31" s="51" t="s">
        <v>52</v>
      </c>
      <c r="D31" s="51">
        <v>4.0</v>
      </c>
      <c r="E31" s="51" t="s">
        <v>53</v>
      </c>
      <c r="F31" s="51">
        <v>4.0</v>
      </c>
      <c r="G31" s="25"/>
      <c r="H31" s="53"/>
      <c r="I31" s="53"/>
      <c r="J31" s="53"/>
      <c r="K31" s="53"/>
      <c r="L31" s="53"/>
      <c r="M31" s="54"/>
      <c r="N31" s="54"/>
      <c r="O31" s="54"/>
      <c r="P31" s="54"/>
      <c r="Q31" s="54"/>
      <c r="R31" s="55"/>
      <c r="S31" s="55"/>
      <c r="T31" s="55"/>
      <c r="U31" s="55"/>
      <c r="V31" s="55"/>
      <c r="W31" s="56"/>
      <c r="X31" s="56"/>
      <c r="Y31" s="56"/>
      <c r="Z31" s="56"/>
      <c r="AA31" s="56"/>
      <c r="AB31" s="57">
        <v>0.1967</v>
      </c>
      <c r="AC31" s="57">
        <v>0.2787</v>
      </c>
      <c r="AD31" s="57">
        <v>0.377</v>
      </c>
      <c r="AE31" s="57">
        <v>0.377</v>
      </c>
      <c r="AF31" s="57">
        <v>0.4426</v>
      </c>
      <c r="AG31" s="58">
        <v>0.3361</v>
      </c>
      <c r="AH31" s="58">
        <v>0.4672</v>
      </c>
      <c r="AI31" s="58">
        <v>0.6148</v>
      </c>
      <c r="AJ31" s="58">
        <v>0.6803</v>
      </c>
      <c r="AK31" s="58">
        <v>0.7213</v>
      </c>
    </row>
    <row r="32">
      <c r="A32" s="25"/>
      <c r="B32" s="25"/>
      <c r="C32" s="51" t="s">
        <v>54</v>
      </c>
      <c r="D32" s="51">
        <v>4.0</v>
      </c>
      <c r="E32" s="51" t="s">
        <v>55</v>
      </c>
      <c r="F32" s="51">
        <v>4.0</v>
      </c>
      <c r="G32" s="25"/>
      <c r="H32" s="53"/>
      <c r="I32" s="53"/>
      <c r="J32" s="53"/>
      <c r="K32" s="53"/>
      <c r="L32" s="53"/>
      <c r="M32" s="54"/>
      <c r="N32" s="54"/>
      <c r="O32" s="54"/>
      <c r="P32" s="54"/>
      <c r="Q32" s="54"/>
      <c r="R32" s="55"/>
      <c r="S32" s="55"/>
      <c r="T32" s="55"/>
      <c r="U32" s="55"/>
      <c r="V32" s="55"/>
      <c r="W32" s="56"/>
      <c r="X32" s="56"/>
      <c r="Y32" s="56"/>
      <c r="Z32" s="56"/>
      <c r="AA32" s="56"/>
      <c r="AB32" s="57">
        <v>0.1803</v>
      </c>
      <c r="AC32" s="57">
        <v>0.2131</v>
      </c>
      <c r="AD32" s="57">
        <v>0.2459</v>
      </c>
      <c r="AE32" s="57">
        <v>0.2787</v>
      </c>
      <c r="AF32" s="57">
        <v>0.3115</v>
      </c>
      <c r="AG32" s="58">
        <v>0.3361</v>
      </c>
      <c r="AH32" s="58">
        <v>0.418</v>
      </c>
      <c r="AI32" s="58">
        <v>0.541</v>
      </c>
      <c r="AJ32" s="58">
        <v>0.6066</v>
      </c>
      <c r="AK32" s="58">
        <v>0.6639</v>
      </c>
    </row>
    <row r="33">
      <c r="A33" s="25"/>
      <c r="B33" s="25"/>
      <c r="C33" s="51" t="s">
        <v>56</v>
      </c>
      <c r="D33" s="51">
        <v>4.0</v>
      </c>
      <c r="E33" s="51" t="s">
        <v>57</v>
      </c>
      <c r="F33" s="51">
        <v>4.0</v>
      </c>
      <c r="G33" s="25"/>
      <c r="H33" s="53"/>
      <c r="I33" s="53"/>
      <c r="J33" s="53"/>
      <c r="K33" s="53"/>
      <c r="L33" s="53"/>
      <c r="M33" s="54"/>
      <c r="N33" s="54"/>
      <c r="O33" s="54"/>
      <c r="P33" s="54"/>
      <c r="Q33" s="54"/>
      <c r="R33" s="55"/>
      <c r="S33" s="55"/>
      <c r="T33" s="55"/>
      <c r="U33" s="55"/>
      <c r="V33" s="55"/>
      <c r="W33" s="56"/>
      <c r="X33" s="56"/>
      <c r="Y33" s="56"/>
      <c r="Z33" s="56"/>
      <c r="AA33" s="56"/>
      <c r="AB33" s="57">
        <v>0.1639</v>
      </c>
      <c r="AC33" s="57">
        <v>0.1639</v>
      </c>
      <c r="AD33" s="57">
        <v>0.2131</v>
      </c>
      <c r="AE33" s="57">
        <v>0.2951</v>
      </c>
      <c r="AF33" s="57">
        <v>0.3115</v>
      </c>
      <c r="AG33" s="58">
        <v>0.2623</v>
      </c>
      <c r="AH33" s="58">
        <v>0.418</v>
      </c>
      <c r="AI33" s="58">
        <v>0.4918</v>
      </c>
      <c r="AJ33" s="58">
        <v>0.541</v>
      </c>
      <c r="AK33" s="58">
        <v>0.623</v>
      </c>
    </row>
    <row r="34">
      <c r="A34" s="25"/>
      <c r="B34" s="25"/>
      <c r="C34" s="51" t="s">
        <v>58</v>
      </c>
      <c r="D34" s="51">
        <v>4.0</v>
      </c>
      <c r="E34" s="51" t="s">
        <v>59</v>
      </c>
      <c r="F34" s="51">
        <v>4.0</v>
      </c>
      <c r="G34" s="25"/>
      <c r="H34" s="53"/>
      <c r="I34" s="53"/>
      <c r="J34" s="53"/>
      <c r="K34" s="53"/>
      <c r="L34" s="53"/>
      <c r="M34" s="54"/>
      <c r="N34" s="54"/>
      <c r="O34" s="54"/>
      <c r="P34" s="54"/>
      <c r="Q34" s="54"/>
      <c r="R34" s="55"/>
      <c r="S34" s="55"/>
      <c r="T34" s="55"/>
      <c r="U34" s="55"/>
      <c r="V34" s="55"/>
      <c r="W34" s="56"/>
      <c r="X34" s="56"/>
      <c r="Y34" s="56"/>
      <c r="Z34" s="56"/>
      <c r="AA34" s="56"/>
      <c r="AB34" s="57">
        <v>0.1639</v>
      </c>
      <c r="AC34" s="57">
        <v>0.2951</v>
      </c>
      <c r="AD34" s="57">
        <v>0.377</v>
      </c>
      <c r="AE34" s="57">
        <v>0.4262</v>
      </c>
      <c r="AF34" s="57">
        <v>0.4262</v>
      </c>
      <c r="AG34" s="58">
        <v>0.2213</v>
      </c>
      <c r="AH34" s="58">
        <v>0.3525</v>
      </c>
      <c r="AI34" s="58">
        <v>0.4672</v>
      </c>
      <c r="AJ34" s="58">
        <v>0.5328</v>
      </c>
      <c r="AK34" s="58">
        <v>0.582</v>
      </c>
    </row>
    <row r="35">
      <c r="A35" s="26"/>
      <c r="B35" s="26"/>
      <c r="C35" s="51" t="s">
        <v>60</v>
      </c>
      <c r="D35" s="51">
        <v>4.0</v>
      </c>
      <c r="E35" s="51" t="s">
        <v>61</v>
      </c>
      <c r="F35" s="51">
        <v>4.0</v>
      </c>
      <c r="G35" s="26"/>
      <c r="H35" s="53"/>
      <c r="I35" s="53"/>
      <c r="J35" s="53"/>
      <c r="K35" s="53"/>
      <c r="L35" s="53"/>
      <c r="M35" s="54"/>
      <c r="N35" s="54"/>
      <c r="O35" s="54"/>
      <c r="P35" s="54"/>
      <c r="Q35" s="54"/>
      <c r="R35" s="55"/>
      <c r="S35" s="55"/>
      <c r="T35" s="55"/>
      <c r="U35" s="55"/>
      <c r="V35" s="55"/>
      <c r="W35" s="56"/>
      <c r="X35" s="56"/>
      <c r="Y35" s="56"/>
      <c r="Z35" s="56"/>
      <c r="AA35" s="56"/>
      <c r="AB35" s="57">
        <v>0.082</v>
      </c>
      <c r="AC35" s="57">
        <v>0.1803</v>
      </c>
      <c r="AD35" s="57">
        <v>0.2131</v>
      </c>
      <c r="AE35" s="57">
        <v>0.2623</v>
      </c>
      <c r="AF35" s="57">
        <v>0.2787</v>
      </c>
      <c r="AG35" s="58">
        <v>0.2705</v>
      </c>
      <c r="AH35" s="58">
        <v>0.4262</v>
      </c>
      <c r="AI35" s="58">
        <v>0.5082</v>
      </c>
      <c r="AJ35" s="58">
        <v>0.5902</v>
      </c>
      <c r="AK35" s="58">
        <v>0.6393</v>
      </c>
    </row>
    <row r="36">
      <c r="A36" s="59" t="s">
        <v>37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8"/>
      <c r="N36" s="48"/>
      <c r="O36" s="48"/>
      <c r="P36" s="48"/>
      <c r="Q36" s="48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9">
        <f t="shared" ref="AB36:AK36" si="7">AVERAGE(AB27:AB35)</f>
        <v>0.1293333333</v>
      </c>
      <c r="AC36" s="49">
        <f t="shared" si="7"/>
        <v>0.2131</v>
      </c>
      <c r="AD36" s="49">
        <f t="shared" si="7"/>
        <v>0.2786777778</v>
      </c>
      <c r="AE36" s="49">
        <f t="shared" si="7"/>
        <v>0.3333222222</v>
      </c>
      <c r="AF36" s="49">
        <f t="shared" si="7"/>
        <v>0.3734</v>
      </c>
      <c r="AG36" s="49">
        <f t="shared" si="7"/>
        <v>0.2923666667</v>
      </c>
      <c r="AH36" s="49">
        <f t="shared" si="7"/>
        <v>0.4407888889</v>
      </c>
      <c r="AI36" s="49">
        <f t="shared" si="7"/>
        <v>0.5482777778</v>
      </c>
      <c r="AJ36" s="49">
        <f t="shared" si="7"/>
        <v>0.6165777778</v>
      </c>
      <c r="AK36" s="49">
        <f t="shared" si="7"/>
        <v>0.6693888889</v>
      </c>
    </row>
    <row r="37">
      <c r="A37" s="59" t="s">
        <v>40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8"/>
      <c r="N37" s="48"/>
      <c r="O37" s="48"/>
      <c r="P37" s="48"/>
      <c r="Q37" s="48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9">
        <f t="shared" ref="AB37:AK37" si="8">stdev(AB27:AB35)</f>
        <v>0.04737209094</v>
      </c>
      <c r="AC37" s="49">
        <f t="shared" si="8"/>
        <v>0.04638620485</v>
      </c>
      <c r="AD37" s="49">
        <f t="shared" si="8"/>
        <v>0.06708324638</v>
      </c>
      <c r="AE37" s="49">
        <f t="shared" si="8"/>
        <v>0.06606193643</v>
      </c>
      <c r="AF37" s="49">
        <f t="shared" si="8"/>
        <v>0.06281739409</v>
      </c>
      <c r="AG37" s="49">
        <f t="shared" si="8"/>
        <v>0.03975097483</v>
      </c>
      <c r="AH37" s="49">
        <f t="shared" si="8"/>
        <v>0.04503405502</v>
      </c>
      <c r="AI37" s="49">
        <f t="shared" si="8"/>
        <v>0.05626254922</v>
      </c>
      <c r="AJ37" s="49">
        <f t="shared" si="8"/>
        <v>0.05919458966</v>
      </c>
      <c r="AK37" s="49">
        <f t="shared" si="8"/>
        <v>0.05543359641</v>
      </c>
    </row>
    <row r="38">
      <c r="A38" s="19" t="s">
        <v>62</v>
      </c>
      <c r="B38" s="60" t="s">
        <v>63</v>
      </c>
      <c r="C38" s="61" t="s">
        <v>64</v>
      </c>
      <c r="D38" s="62">
        <v>1.0</v>
      </c>
      <c r="E38" s="61" t="s">
        <v>65</v>
      </c>
      <c r="F38" s="62">
        <v>1.0</v>
      </c>
      <c r="G38" s="19" t="s">
        <v>66</v>
      </c>
      <c r="H38" s="2"/>
      <c r="I38" s="2"/>
      <c r="J38" s="2"/>
      <c r="K38" s="2"/>
      <c r="L38" s="2"/>
      <c r="M38" s="20"/>
      <c r="N38" s="20"/>
      <c r="O38" s="20"/>
      <c r="P38" s="20"/>
      <c r="Q38" s="20"/>
      <c r="R38" s="21"/>
      <c r="S38" s="21"/>
      <c r="T38" s="21"/>
      <c r="U38" s="21"/>
      <c r="V38" s="21"/>
      <c r="W38" s="22"/>
      <c r="X38" s="22"/>
      <c r="Y38" s="22"/>
      <c r="Z38" s="22"/>
      <c r="AA38" s="22"/>
      <c r="AB38" s="23"/>
      <c r="AC38" s="23"/>
      <c r="AD38" s="23"/>
      <c r="AE38" s="23"/>
      <c r="AF38" s="23"/>
      <c r="AG38" s="24"/>
      <c r="AH38" s="24"/>
      <c r="AI38" s="24"/>
      <c r="AJ38" s="24"/>
      <c r="AK38" s="24"/>
    </row>
    <row r="39">
      <c r="A39" s="25"/>
      <c r="B39" s="25"/>
      <c r="C39" s="61" t="s">
        <v>21</v>
      </c>
      <c r="D39" s="62">
        <v>1.0</v>
      </c>
      <c r="E39" s="61" t="s">
        <v>28</v>
      </c>
      <c r="F39" s="62">
        <v>1.0</v>
      </c>
      <c r="G39" s="25"/>
      <c r="H39" s="2"/>
      <c r="I39" s="2"/>
      <c r="J39" s="2"/>
      <c r="K39" s="2"/>
      <c r="L39" s="2"/>
      <c r="M39" s="20"/>
      <c r="N39" s="20"/>
      <c r="O39" s="20"/>
      <c r="P39" s="20"/>
      <c r="Q39" s="20"/>
      <c r="R39" s="21"/>
      <c r="S39" s="21"/>
      <c r="T39" s="21"/>
      <c r="U39" s="21"/>
      <c r="V39" s="21"/>
      <c r="W39" s="22"/>
      <c r="X39" s="22"/>
      <c r="Y39" s="22"/>
      <c r="Z39" s="22"/>
      <c r="AA39" s="22"/>
      <c r="AB39" s="23"/>
      <c r="AC39" s="23"/>
      <c r="AD39" s="23"/>
      <c r="AE39" s="23"/>
      <c r="AF39" s="23"/>
      <c r="AG39" s="24"/>
      <c r="AH39" s="24"/>
      <c r="AI39" s="24"/>
      <c r="AJ39" s="24"/>
      <c r="AK39" s="24"/>
    </row>
    <row r="40">
      <c r="A40" s="25"/>
      <c r="B40" s="25"/>
      <c r="C40" s="61" t="s">
        <v>23</v>
      </c>
      <c r="D40" s="62">
        <v>1.0</v>
      </c>
      <c r="E40" s="61" t="s">
        <v>30</v>
      </c>
      <c r="F40" s="62">
        <v>1.0</v>
      </c>
      <c r="G40" s="25"/>
      <c r="H40" s="2"/>
      <c r="I40" s="2"/>
      <c r="J40" s="2"/>
      <c r="K40" s="2"/>
      <c r="L40" s="2"/>
      <c r="M40" s="20"/>
      <c r="N40" s="20"/>
      <c r="O40" s="20"/>
      <c r="P40" s="20"/>
      <c r="Q40" s="20"/>
      <c r="R40" s="21"/>
      <c r="S40" s="21"/>
      <c r="T40" s="21"/>
      <c r="U40" s="21"/>
      <c r="V40" s="21"/>
      <c r="W40" s="22"/>
      <c r="X40" s="22"/>
      <c r="Y40" s="22"/>
      <c r="Z40" s="22"/>
      <c r="AA40" s="22"/>
      <c r="AB40" s="23"/>
      <c r="AC40" s="23"/>
      <c r="AD40" s="23"/>
      <c r="AE40" s="23"/>
      <c r="AF40" s="23"/>
      <c r="AG40" s="24"/>
      <c r="AH40" s="24"/>
      <c r="AI40" s="24"/>
      <c r="AJ40" s="24"/>
      <c r="AK40" s="24"/>
    </row>
    <row r="41">
      <c r="A41" s="25"/>
      <c r="B41" s="25"/>
      <c r="C41" s="61" t="s">
        <v>18</v>
      </c>
      <c r="D41" s="62">
        <v>1.0</v>
      </c>
      <c r="E41" s="61" t="s">
        <v>32</v>
      </c>
      <c r="F41" s="62">
        <v>1.0</v>
      </c>
      <c r="G41" s="25"/>
      <c r="H41" s="2"/>
      <c r="I41" s="2"/>
      <c r="J41" s="2"/>
      <c r="K41" s="2"/>
      <c r="L41" s="2"/>
      <c r="M41" s="20"/>
      <c r="N41" s="20"/>
      <c r="O41" s="20"/>
      <c r="P41" s="20"/>
      <c r="Q41" s="20"/>
      <c r="R41" s="21"/>
      <c r="S41" s="21"/>
      <c r="T41" s="21"/>
      <c r="U41" s="21"/>
      <c r="V41" s="21"/>
      <c r="W41" s="22"/>
      <c r="X41" s="22"/>
      <c r="Y41" s="22"/>
      <c r="Z41" s="22"/>
      <c r="AA41" s="22"/>
      <c r="AB41" s="23"/>
      <c r="AC41" s="23"/>
      <c r="AD41" s="23"/>
      <c r="AE41" s="23"/>
      <c r="AF41" s="23"/>
      <c r="AG41" s="24"/>
      <c r="AH41" s="24"/>
      <c r="AI41" s="24"/>
      <c r="AJ41" s="24"/>
      <c r="AK41" s="24"/>
    </row>
    <row r="42">
      <c r="A42" s="25"/>
      <c r="B42" s="25"/>
      <c r="C42" s="61" t="s">
        <v>21</v>
      </c>
      <c r="D42" s="62">
        <v>1.0</v>
      </c>
      <c r="E42" s="61" t="s">
        <v>34</v>
      </c>
      <c r="F42" s="62">
        <v>1.0</v>
      </c>
      <c r="G42" s="25"/>
      <c r="H42" s="2"/>
      <c r="I42" s="2"/>
      <c r="J42" s="2"/>
      <c r="K42" s="2"/>
      <c r="L42" s="2"/>
      <c r="M42" s="20"/>
      <c r="N42" s="20"/>
      <c r="O42" s="20"/>
      <c r="P42" s="20"/>
      <c r="Q42" s="20"/>
      <c r="R42" s="21"/>
      <c r="S42" s="21"/>
      <c r="T42" s="21"/>
      <c r="U42" s="21"/>
      <c r="V42" s="21"/>
      <c r="W42" s="22"/>
      <c r="X42" s="22"/>
      <c r="Y42" s="22"/>
      <c r="Z42" s="22"/>
      <c r="AA42" s="22"/>
      <c r="AB42" s="23"/>
      <c r="AC42" s="23"/>
      <c r="AD42" s="23"/>
      <c r="AE42" s="23"/>
      <c r="AF42" s="23"/>
      <c r="AG42" s="24"/>
      <c r="AH42" s="24"/>
      <c r="AI42" s="24"/>
      <c r="AJ42" s="24"/>
      <c r="AK42" s="24"/>
    </row>
    <row r="43">
      <c r="A43" s="25"/>
      <c r="B43" s="25"/>
      <c r="C43" s="61" t="s">
        <v>23</v>
      </c>
      <c r="D43" s="62">
        <v>1.0</v>
      </c>
      <c r="E43" s="61" t="s">
        <v>36</v>
      </c>
      <c r="F43" s="62">
        <v>1.0</v>
      </c>
      <c r="G43" s="25"/>
      <c r="H43" s="2"/>
      <c r="I43" s="2"/>
      <c r="J43" s="2"/>
      <c r="K43" s="2"/>
      <c r="L43" s="2"/>
      <c r="M43" s="20"/>
      <c r="N43" s="20"/>
      <c r="O43" s="20"/>
      <c r="P43" s="20"/>
      <c r="Q43" s="20"/>
      <c r="R43" s="21"/>
      <c r="S43" s="21"/>
      <c r="T43" s="21"/>
      <c r="U43" s="21"/>
      <c r="V43" s="21"/>
      <c r="W43" s="22"/>
      <c r="X43" s="22"/>
      <c r="Y43" s="22"/>
      <c r="Z43" s="22"/>
      <c r="AA43" s="22"/>
      <c r="AB43" s="23"/>
      <c r="AC43" s="23"/>
      <c r="AD43" s="23"/>
      <c r="AE43" s="23"/>
      <c r="AF43" s="23"/>
      <c r="AG43" s="24"/>
      <c r="AH43" s="24"/>
      <c r="AI43" s="24"/>
      <c r="AJ43" s="24"/>
      <c r="AK43" s="24"/>
    </row>
    <row r="44">
      <c r="A44" s="25"/>
      <c r="B44" s="25"/>
      <c r="C44" s="61" t="s">
        <v>25</v>
      </c>
      <c r="D44" s="62">
        <v>1.0</v>
      </c>
      <c r="E44" s="61" t="s">
        <v>32</v>
      </c>
      <c r="F44" s="62">
        <v>1.0</v>
      </c>
      <c r="G44" s="25"/>
      <c r="H44" s="2"/>
      <c r="I44" s="2"/>
      <c r="J44" s="2"/>
      <c r="K44" s="2"/>
      <c r="L44" s="2"/>
      <c r="M44" s="20"/>
      <c r="N44" s="20"/>
      <c r="O44" s="20"/>
      <c r="P44" s="20"/>
      <c r="Q44" s="20"/>
      <c r="R44" s="21"/>
      <c r="S44" s="21"/>
      <c r="T44" s="21"/>
      <c r="U44" s="21"/>
      <c r="V44" s="21"/>
      <c r="W44" s="22"/>
      <c r="X44" s="22"/>
      <c r="Y44" s="22"/>
      <c r="Z44" s="22"/>
      <c r="AA44" s="22"/>
      <c r="AB44" s="23"/>
      <c r="AC44" s="23"/>
      <c r="AD44" s="23"/>
      <c r="AE44" s="23"/>
      <c r="AF44" s="23"/>
      <c r="AG44" s="24"/>
      <c r="AH44" s="24"/>
      <c r="AI44" s="24"/>
      <c r="AJ44" s="24"/>
      <c r="AK44" s="24"/>
    </row>
    <row r="45">
      <c r="A45" s="25"/>
      <c r="B45" s="25"/>
      <c r="C45" s="61" t="s">
        <v>27</v>
      </c>
      <c r="D45" s="62">
        <v>1.0</v>
      </c>
      <c r="E45" s="61" t="s">
        <v>34</v>
      </c>
      <c r="F45" s="62">
        <v>1.0</v>
      </c>
      <c r="G45" s="25"/>
      <c r="H45" s="2"/>
      <c r="I45" s="2"/>
      <c r="J45" s="2"/>
      <c r="K45" s="2"/>
      <c r="L45" s="2"/>
      <c r="M45" s="20"/>
      <c r="N45" s="20"/>
      <c r="O45" s="20"/>
      <c r="P45" s="20"/>
      <c r="Q45" s="20"/>
      <c r="R45" s="21"/>
      <c r="S45" s="21"/>
      <c r="T45" s="21"/>
      <c r="U45" s="21"/>
      <c r="V45" s="21"/>
      <c r="W45" s="22"/>
      <c r="X45" s="22"/>
      <c r="Y45" s="22"/>
      <c r="Z45" s="22"/>
      <c r="AA45" s="22"/>
      <c r="AB45" s="23"/>
      <c r="AC45" s="23"/>
      <c r="AD45" s="23"/>
      <c r="AE45" s="23"/>
      <c r="AF45" s="23"/>
      <c r="AG45" s="24"/>
      <c r="AH45" s="24"/>
      <c r="AI45" s="24"/>
      <c r="AJ45" s="24"/>
      <c r="AK45" s="24"/>
    </row>
    <row r="46">
      <c r="A46" s="25"/>
      <c r="B46" s="25"/>
      <c r="C46" s="61" t="s">
        <v>29</v>
      </c>
      <c r="D46" s="62">
        <v>1.0</v>
      </c>
      <c r="E46" s="61" t="s">
        <v>36</v>
      </c>
      <c r="F46" s="62">
        <v>1.0</v>
      </c>
      <c r="G46" s="25"/>
      <c r="H46" s="2"/>
      <c r="I46" s="2"/>
      <c r="J46" s="2"/>
      <c r="K46" s="2"/>
      <c r="L46" s="2"/>
      <c r="M46" s="20"/>
      <c r="N46" s="20"/>
      <c r="O46" s="20"/>
      <c r="P46" s="20"/>
      <c r="Q46" s="20"/>
      <c r="R46" s="21"/>
      <c r="S46" s="21"/>
      <c r="T46" s="21"/>
      <c r="U46" s="21"/>
      <c r="V46" s="21"/>
      <c r="W46" s="22"/>
      <c r="X46" s="22"/>
      <c r="Y46" s="22"/>
      <c r="Z46" s="22"/>
      <c r="AA46" s="22"/>
      <c r="AB46" s="23"/>
      <c r="AC46" s="23"/>
      <c r="AD46" s="23"/>
      <c r="AE46" s="23"/>
      <c r="AF46" s="23"/>
      <c r="AG46" s="24"/>
      <c r="AH46" s="24"/>
      <c r="AI46" s="24"/>
      <c r="AJ46" s="24"/>
      <c r="AK46" s="24"/>
    </row>
    <row r="47">
      <c r="A47" s="25"/>
      <c r="B47" s="25"/>
      <c r="C47" s="61" t="s">
        <v>67</v>
      </c>
      <c r="D47" s="62">
        <v>1.0</v>
      </c>
      <c r="E47" s="61" t="s">
        <v>68</v>
      </c>
      <c r="F47" s="62">
        <v>1.0</v>
      </c>
      <c r="G47" s="25"/>
      <c r="H47" s="2"/>
      <c r="I47" s="2"/>
      <c r="J47" s="2"/>
      <c r="K47" s="2"/>
      <c r="L47" s="2"/>
      <c r="M47" s="20"/>
      <c r="N47" s="20"/>
      <c r="O47" s="20"/>
      <c r="P47" s="20"/>
      <c r="Q47" s="20"/>
      <c r="R47" s="21"/>
      <c r="S47" s="21"/>
      <c r="T47" s="21"/>
      <c r="U47" s="21"/>
      <c r="V47" s="21"/>
      <c r="W47" s="22"/>
      <c r="X47" s="22"/>
      <c r="Y47" s="22"/>
      <c r="Z47" s="22"/>
      <c r="AA47" s="22"/>
      <c r="AB47" s="23"/>
      <c r="AC47" s="23"/>
      <c r="AD47" s="23"/>
      <c r="AE47" s="23"/>
      <c r="AF47" s="23"/>
      <c r="AG47" s="24"/>
      <c r="AH47" s="24"/>
      <c r="AI47" s="24"/>
      <c r="AJ47" s="24"/>
      <c r="AK47" s="24"/>
    </row>
    <row r="48">
      <c r="A48" s="25"/>
      <c r="B48" s="25"/>
      <c r="C48" s="61" t="s">
        <v>27</v>
      </c>
      <c r="D48" s="62">
        <v>1.0</v>
      </c>
      <c r="E48" s="61" t="s">
        <v>22</v>
      </c>
      <c r="F48" s="62">
        <v>1.0</v>
      </c>
      <c r="G48" s="25"/>
      <c r="H48" s="2"/>
      <c r="I48" s="2"/>
      <c r="J48" s="2"/>
      <c r="K48" s="2"/>
      <c r="L48" s="2"/>
      <c r="M48" s="20"/>
      <c r="N48" s="20"/>
      <c r="O48" s="20"/>
      <c r="P48" s="20"/>
      <c r="Q48" s="20"/>
      <c r="R48" s="21"/>
      <c r="S48" s="21"/>
      <c r="T48" s="21"/>
      <c r="U48" s="21"/>
      <c r="V48" s="21"/>
      <c r="W48" s="22"/>
      <c r="X48" s="22"/>
      <c r="Y48" s="22"/>
      <c r="Z48" s="22"/>
      <c r="AA48" s="22"/>
      <c r="AB48" s="23"/>
      <c r="AC48" s="23"/>
      <c r="AD48" s="23"/>
      <c r="AE48" s="23"/>
      <c r="AF48" s="23"/>
      <c r="AG48" s="24"/>
      <c r="AH48" s="24"/>
      <c r="AI48" s="24"/>
      <c r="AJ48" s="24"/>
      <c r="AK48" s="24"/>
    </row>
    <row r="49">
      <c r="A49" s="25"/>
      <c r="B49" s="25"/>
      <c r="C49" s="61" t="s">
        <v>29</v>
      </c>
      <c r="D49" s="62">
        <v>1.0</v>
      </c>
      <c r="E49" s="61" t="s">
        <v>24</v>
      </c>
      <c r="F49" s="62">
        <v>1.0</v>
      </c>
      <c r="G49" s="25"/>
      <c r="H49" s="2"/>
      <c r="I49" s="2"/>
      <c r="J49" s="2"/>
      <c r="K49" s="2"/>
      <c r="L49" s="2"/>
      <c r="M49" s="20"/>
      <c r="N49" s="20"/>
      <c r="O49" s="20"/>
      <c r="P49" s="20"/>
      <c r="Q49" s="20"/>
      <c r="R49" s="21"/>
      <c r="S49" s="21"/>
      <c r="T49" s="21"/>
      <c r="U49" s="21"/>
      <c r="V49" s="21"/>
      <c r="W49" s="22"/>
      <c r="X49" s="22"/>
      <c r="Y49" s="22"/>
      <c r="Z49" s="22"/>
      <c r="AA49" s="22"/>
      <c r="AB49" s="23"/>
      <c r="AC49" s="23"/>
      <c r="AD49" s="23"/>
      <c r="AE49" s="23"/>
      <c r="AF49" s="23"/>
      <c r="AG49" s="24"/>
      <c r="AH49" s="24"/>
      <c r="AI49" s="24"/>
      <c r="AJ49" s="24"/>
      <c r="AK49" s="24"/>
    </row>
    <row r="50">
      <c r="A50" s="25"/>
      <c r="B50" s="25"/>
      <c r="C50" s="61" t="s">
        <v>31</v>
      </c>
      <c r="D50" s="62">
        <v>1.0</v>
      </c>
      <c r="E50" s="61" t="s">
        <v>19</v>
      </c>
      <c r="F50" s="62">
        <v>1.0</v>
      </c>
      <c r="G50" s="25"/>
      <c r="H50" s="2"/>
      <c r="I50" s="2"/>
      <c r="J50" s="2"/>
      <c r="K50" s="2"/>
      <c r="L50" s="2"/>
      <c r="M50" s="20"/>
      <c r="N50" s="20"/>
      <c r="O50" s="20"/>
      <c r="P50" s="20"/>
      <c r="Q50" s="20"/>
      <c r="R50" s="21"/>
      <c r="S50" s="21"/>
      <c r="T50" s="21"/>
      <c r="U50" s="21"/>
      <c r="V50" s="21"/>
      <c r="W50" s="22"/>
      <c r="X50" s="22"/>
      <c r="Y50" s="22"/>
      <c r="Z50" s="22"/>
      <c r="AA50" s="22"/>
      <c r="AB50" s="23"/>
      <c r="AC50" s="23"/>
      <c r="AD50" s="23"/>
      <c r="AE50" s="23"/>
      <c r="AF50" s="23"/>
      <c r="AG50" s="24"/>
      <c r="AH50" s="24"/>
      <c r="AI50" s="24"/>
      <c r="AJ50" s="24"/>
      <c r="AK50" s="24"/>
    </row>
    <row r="51">
      <c r="A51" s="25"/>
      <c r="B51" s="25"/>
      <c r="C51" s="61" t="s">
        <v>33</v>
      </c>
      <c r="D51" s="62">
        <v>1.0</v>
      </c>
      <c r="E51" s="61" t="s">
        <v>22</v>
      </c>
      <c r="F51" s="62">
        <v>1.0</v>
      </c>
      <c r="G51" s="25"/>
      <c r="H51" s="2"/>
      <c r="I51" s="2"/>
      <c r="J51" s="2"/>
      <c r="K51" s="2"/>
      <c r="L51" s="2"/>
      <c r="M51" s="20"/>
      <c r="N51" s="20"/>
      <c r="O51" s="20"/>
      <c r="P51" s="20"/>
      <c r="Q51" s="20"/>
      <c r="R51" s="21"/>
      <c r="S51" s="21"/>
      <c r="T51" s="21"/>
      <c r="U51" s="21"/>
      <c r="V51" s="21"/>
      <c r="W51" s="22"/>
      <c r="X51" s="22"/>
      <c r="Y51" s="22"/>
      <c r="Z51" s="22"/>
      <c r="AA51" s="22"/>
      <c r="AB51" s="23"/>
      <c r="AC51" s="23"/>
      <c r="AD51" s="23"/>
      <c r="AE51" s="23"/>
      <c r="AF51" s="23"/>
      <c r="AG51" s="24"/>
      <c r="AH51" s="24"/>
      <c r="AI51" s="24"/>
      <c r="AJ51" s="24"/>
      <c r="AK51" s="24"/>
    </row>
    <row r="52">
      <c r="A52" s="25"/>
      <c r="B52" s="25"/>
      <c r="C52" s="61" t="s">
        <v>35</v>
      </c>
      <c r="D52" s="62">
        <v>1.0</v>
      </c>
      <c r="E52" s="61" t="s">
        <v>24</v>
      </c>
      <c r="F52" s="62">
        <v>1.0</v>
      </c>
      <c r="G52" s="25"/>
      <c r="H52" s="2"/>
      <c r="I52" s="2"/>
      <c r="J52" s="2"/>
      <c r="K52" s="2"/>
      <c r="L52" s="2"/>
      <c r="M52" s="20"/>
      <c r="N52" s="20"/>
      <c r="O52" s="20"/>
      <c r="P52" s="20"/>
      <c r="Q52" s="20"/>
      <c r="R52" s="21"/>
      <c r="S52" s="21"/>
      <c r="T52" s="21"/>
      <c r="U52" s="21"/>
      <c r="V52" s="21"/>
      <c r="W52" s="22"/>
      <c r="X52" s="22"/>
      <c r="Y52" s="22"/>
      <c r="Z52" s="22"/>
      <c r="AA52" s="22"/>
      <c r="AB52" s="23"/>
      <c r="AC52" s="23"/>
      <c r="AD52" s="23"/>
      <c r="AE52" s="23"/>
      <c r="AF52" s="23"/>
      <c r="AG52" s="24"/>
      <c r="AH52" s="24"/>
      <c r="AI52" s="24"/>
      <c r="AJ52" s="24"/>
      <c r="AK52" s="24"/>
    </row>
    <row r="53">
      <c r="A53" s="25"/>
      <c r="B53" s="25"/>
      <c r="C53" s="61" t="s">
        <v>31</v>
      </c>
      <c r="D53" s="62">
        <v>1.0</v>
      </c>
      <c r="E53" s="61" t="s">
        <v>26</v>
      </c>
      <c r="F53" s="62">
        <v>1.0</v>
      </c>
      <c r="G53" s="25"/>
      <c r="H53" s="2"/>
      <c r="I53" s="2"/>
      <c r="J53" s="2"/>
      <c r="K53" s="2"/>
      <c r="L53" s="2"/>
      <c r="M53" s="20"/>
      <c r="N53" s="20"/>
      <c r="O53" s="20"/>
      <c r="P53" s="20"/>
      <c r="Q53" s="20"/>
      <c r="R53" s="21"/>
      <c r="S53" s="21"/>
      <c r="T53" s="21"/>
      <c r="U53" s="21"/>
      <c r="V53" s="21"/>
      <c r="W53" s="22"/>
      <c r="X53" s="22"/>
      <c r="Y53" s="22"/>
      <c r="Z53" s="22"/>
      <c r="AA53" s="22"/>
      <c r="AB53" s="23"/>
      <c r="AC53" s="23"/>
      <c r="AD53" s="23"/>
      <c r="AE53" s="23"/>
      <c r="AF53" s="23"/>
      <c r="AG53" s="24"/>
      <c r="AH53" s="24"/>
      <c r="AI53" s="24"/>
      <c r="AJ53" s="24"/>
      <c r="AK53" s="24"/>
    </row>
    <row r="54">
      <c r="A54" s="25"/>
      <c r="B54" s="25"/>
      <c r="C54" s="61" t="s">
        <v>33</v>
      </c>
      <c r="D54" s="62">
        <v>1.0</v>
      </c>
      <c r="E54" s="61" t="s">
        <v>28</v>
      </c>
      <c r="F54" s="62">
        <v>1.0</v>
      </c>
      <c r="G54" s="25"/>
      <c r="H54" s="2"/>
      <c r="I54" s="2"/>
      <c r="J54" s="2"/>
      <c r="K54" s="2"/>
      <c r="L54" s="2"/>
      <c r="M54" s="20"/>
      <c r="N54" s="20"/>
      <c r="O54" s="20"/>
      <c r="P54" s="20"/>
      <c r="Q54" s="20"/>
      <c r="R54" s="21"/>
      <c r="S54" s="21"/>
      <c r="T54" s="21"/>
      <c r="U54" s="21"/>
      <c r="V54" s="21"/>
      <c r="W54" s="22"/>
      <c r="X54" s="22"/>
      <c r="Y54" s="22"/>
      <c r="Z54" s="22"/>
      <c r="AA54" s="22"/>
      <c r="AB54" s="23"/>
      <c r="AC54" s="23"/>
      <c r="AD54" s="23"/>
      <c r="AE54" s="23"/>
      <c r="AF54" s="23"/>
      <c r="AG54" s="24"/>
      <c r="AH54" s="24"/>
      <c r="AI54" s="24"/>
      <c r="AJ54" s="24"/>
      <c r="AK54" s="24"/>
    </row>
    <row r="55">
      <c r="A55" s="25"/>
      <c r="B55" s="25"/>
      <c r="C55" s="61" t="s">
        <v>35</v>
      </c>
      <c r="D55" s="62">
        <v>1.0</v>
      </c>
      <c r="E55" s="61" t="s">
        <v>30</v>
      </c>
      <c r="F55" s="62">
        <v>1.0</v>
      </c>
      <c r="G55" s="26"/>
      <c r="H55" s="2"/>
      <c r="I55" s="2"/>
      <c r="J55" s="2"/>
      <c r="K55" s="2"/>
      <c r="L55" s="2"/>
      <c r="M55" s="20"/>
      <c r="N55" s="20"/>
      <c r="O55" s="20"/>
      <c r="P55" s="20"/>
      <c r="Q55" s="20"/>
      <c r="R55" s="21"/>
      <c r="S55" s="21"/>
      <c r="T55" s="21"/>
      <c r="U55" s="21"/>
      <c r="V55" s="21"/>
      <c r="W55" s="22"/>
      <c r="X55" s="22"/>
      <c r="Y55" s="22"/>
      <c r="Z55" s="22"/>
      <c r="AA55" s="22"/>
      <c r="AB55" s="23"/>
      <c r="AC55" s="23"/>
      <c r="AD55" s="23"/>
      <c r="AE55" s="23"/>
      <c r="AF55" s="23"/>
      <c r="AG55" s="24"/>
      <c r="AH55" s="24"/>
      <c r="AI55" s="24"/>
      <c r="AJ55" s="24"/>
      <c r="AK55" s="24"/>
    </row>
    <row r="56">
      <c r="A56" s="25"/>
      <c r="B56" s="25"/>
      <c r="C56" s="63" t="s">
        <v>69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</row>
    <row r="57">
      <c r="A57" s="25"/>
      <c r="B57" s="25"/>
      <c r="C57" s="63" t="s">
        <v>38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</row>
    <row r="58">
      <c r="A58" s="25"/>
      <c r="B58" s="64" t="s">
        <v>70</v>
      </c>
      <c r="C58" s="61" t="s">
        <v>71</v>
      </c>
      <c r="D58" s="62">
        <v>1.0</v>
      </c>
      <c r="E58" s="61" t="s">
        <v>72</v>
      </c>
      <c r="F58" s="62">
        <v>1.0</v>
      </c>
      <c r="G58" s="19" t="s">
        <v>66</v>
      </c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6"/>
      <c r="S58" s="66"/>
      <c r="T58" s="66"/>
      <c r="U58" s="66"/>
      <c r="V58" s="66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</row>
    <row r="59">
      <c r="A59" s="25"/>
      <c r="B59" s="25"/>
      <c r="C59" s="61" t="s">
        <v>28</v>
      </c>
      <c r="D59" s="62">
        <v>1.0</v>
      </c>
      <c r="E59" s="61" t="s">
        <v>21</v>
      </c>
      <c r="F59" s="62">
        <v>1.0</v>
      </c>
      <c r="G59" s="2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6"/>
      <c r="S59" s="66"/>
      <c r="T59" s="66"/>
      <c r="U59" s="66"/>
      <c r="V59" s="66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</row>
    <row r="60">
      <c r="A60" s="25"/>
      <c r="B60" s="25"/>
      <c r="C60" s="61" t="s">
        <v>30</v>
      </c>
      <c r="D60" s="62">
        <v>1.0</v>
      </c>
      <c r="E60" s="61" t="s">
        <v>23</v>
      </c>
      <c r="F60" s="62">
        <v>1.0</v>
      </c>
      <c r="G60" s="2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6"/>
      <c r="S60" s="66"/>
      <c r="T60" s="66"/>
      <c r="U60" s="66"/>
      <c r="V60" s="66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</row>
    <row r="61">
      <c r="A61" s="25"/>
      <c r="B61" s="25"/>
      <c r="C61" s="61" t="s">
        <v>32</v>
      </c>
      <c r="D61" s="62">
        <v>1.0</v>
      </c>
      <c r="E61" s="61" t="s">
        <v>18</v>
      </c>
      <c r="F61" s="62">
        <v>1.0</v>
      </c>
      <c r="G61" s="2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6"/>
      <c r="S61" s="66"/>
      <c r="T61" s="66"/>
      <c r="U61" s="66"/>
      <c r="V61" s="66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</row>
    <row r="62">
      <c r="A62" s="25"/>
      <c r="B62" s="25"/>
      <c r="C62" s="61" t="s">
        <v>34</v>
      </c>
      <c r="D62" s="62">
        <v>1.0</v>
      </c>
      <c r="E62" s="61" t="s">
        <v>21</v>
      </c>
      <c r="F62" s="62">
        <v>1.0</v>
      </c>
      <c r="G62" s="2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6"/>
      <c r="S62" s="66"/>
      <c r="T62" s="66"/>
      <c r="U62" s="66"/>
      <c r="V62" s="66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</row>
    <row r="63">
      <c r="A63" s="25"/>
      <c r="B63" s="25"/>
      <c r="C63" s="61" t="s">
        <v>36</v>
      </c>
      <c r="D63" s="62">
        <v>1.0</v>
      </c>
      <c r="E63" s="61" t="s">
        <v>23</v>
      </c>
      <c r="F63" s="62">
        <v>1.0</v>
      </c>
      <c r="G63" s="2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6"/>
      <c r="S63" s="66"/>
      <c r="T63" s="66"/>
      <c r="U63" s="66"/>
      <c r="V63" s="66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</row>
    <row r="64">
      <c r="A64" s="25"/>
      <c r="B64" s="25"/>
      <c r="C64" s="61" t="s">
        <v>32</v>
      </c>
      <c r="D64" s="62">
        <v>1.0</v>
      </c>
      <c r="E64" s="61" t="s">
        <v>25</v>
      </c>
      <c r="F64" s="62">
        <v>1.0</v>
      </c>
      <c r="G64" s="2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6"/>
      <c r="S64" s="66"/>
      <c r="T64" s="66"/>
      <c r="U64" s="66"/>
      <c r="V64" s="66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</row>
    <row r="65">
      <c r="A65" s="25"/>
      <c r="B65" s="25"/>
      <c r="C65" s="61" t="s">
        <v>34</v>
      </c>
      <c r="D65" s="62">
        <v>1.0</v>
      </c>
      <c r="E65" s="61" t="s">
        <v>27</v>
      </c>
      <c r="F65" s="62">
        <v>1.0</v>
      </c>
      <c r="G65" s="2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6"/>
      <c r="S65" s="66"/>
      <c r="T65" s="66"/>
      <c r="U65" s="66"/>
      <c r="V65" s="66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</row>
    <row r="66">
      <c r="A66" s="25"/>
      <c r="B66" s="25"/>
      <c r="C66" s="61" t="s">
        <v>36</v>
      </c>
      <c r="D66" s="62">
        <v>1.0</v>
      </c>
      <c r="E66" s="61" t="s">
        <v>29</v>
      </c>
      <c r="F66" s="62">
        <v>1.0</v>
      </c>
      <c r="G66" s="26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6"/>
      <c r="S66" s="66"/>
      <c r="T66" s="66"/>
      <c r="U66" s="66"/>
      <c r="V66" s="66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</row>
    <row r="67">
      <c r="A67" s="25"/>
      <c r="B67" s="25"/>
      <c r="C67" s="61" t="s">
        <v>73</v>
      </c>
      <c r="D67" s="62">
        <v>1.0</v>
      </c>
      <c r="E67" s="61" t="s">
        <v>74</v>
      </c>
      <c r="F67" s="62">
        <v>1.0</v>
      </c>
      <c r="G67" s="67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6"/>
      <c r="S67" s="66"/>
      <c r="T67" s="66"/>
      <c r="U67" s="66"/>
      <c r="V67" s="66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</row>
    <row r="68">
      <c r="A68" s="25"/>
      <c r="B68" s="25"/>
      <c r="C68" s="61" t="s">
        <v>22</v>
      </c>
      <c r="D68" s="62">
        <v>1.0</v>
      </c>
      <c r="E68" s="61" t="s">
        <v>27</v>
      </c>
      <c r="F68" s="62">
        <v>1.0</v>
      </c>
      <c r="G68" s="67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6"/>
      <c r="S68" s="66"/>
      <c r="T68" s="66"/>
      <c r="U68" s="66"/>
      <c r="V68" s="66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</row>
    <row r="69">
      <c r="A69" s="25"/>
      <c r="B69" s="25"/>
      <c r="C69" s="61" t="s">
        <v>24</v>
      </c>
      <c r="D69" s="62">
        <v>1.0</v>
      </c>
      <c r="E69" s="61" t="s">
        <v>29</v>
      </c>
      <c r="F69" s="62">
        <v>1.0</v>
      </c>
      <c r="G69" s="67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6"/>
      <c r="S69" s="66"/>
      <c r="T69" s="66"/>
      <c r="U69" s="66"/>
      <c r="V69" s="66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</row>
    <row r="70">
      <c r="A70" s="25"/>
      <c r="B70" s="25"/>
      <c r="C70" s="61" t="s">
        <v>19</v>
      </c>
      <c r="D70" s="62">
        <v>1.0</v>
      </c>
      <c r="E70" s="61" t="s">
        <v>31</v>
      </c>
      <c r="F70" s="62">
        <v>1.0</v>
      </c>
      <c r="G70" s="67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6"/>
      <c r="S70" s="66"/>
      <c r="T70" s="66"/>
      <c r="U70" s="66"/>
      <c r="V70" s="66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</row>
    <row r="71">
      <c r="A71" s="25"/>
      <c r="B71" s="25"/>
      <c r="C71" s="61" t="s">
        <v>22</v>
      </c>
      <c r="D71" s="62">
        <v>1.0</v>
      </c>
      <c r="E71" s="61" t="s">
        <v>33</v>
      </c>
      <c r="F71" s="62">
        <v>1.0</v>
      </c>
      <c r="G71" s="67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6"/>
      <c r="S71" s="66"/>
      <c r="T71" s="66"/>
      <c r="U71" s="66"/>
      <c r="V71" s="66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</row>
    <row r="72">
      <c r="A72" s="25"/>
      <c r="B72" s="25"/>
      <c r="C72" s="61" t="s">
        <v>24</v>
      </c>
      <c r="D72" s="62">
        <v>1.0</v>
      </c>
      <c r="E72" s="61" t="s">
        <v>35</v>
      </c>
      <c r="F72" s="62">
        <v>1.0</v>
      </c>
      <c r="G72" s="67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6"/>
      <c r="S72" s="66"/>
      <c r="T72" s="66"/>
      <c r="U72" s="66"/>
      <c r="V72" s="66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</row>
    <row r="73">
      <c r="A73" s="25"/>
      <c r="B73" s="25"/>
      <c r="C73" s="61" t="s">
        <v>26</v>
      </c>
      <c r="D73" s="62">
        <v>1.0</v>
      </c>
      <c r="E73" s="61" t="s">
        <v>31</v>
      </c>
      <c r="F73" s="62">
        <v>1.0</v>
      </c>
      <c r="G73" s="67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6"/>
      <c r="S73" s="66"/>
      <c r="T73" s="66"/>
      <c r="U73" s="66"/>
      <c r="V73" s="66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</row>
    <row r="74">
      <c r="A74" s="25"/>
      <c r="B74" s="25"/>
      <c r="C74" s="61" t="s">
        <v>28</v>
      </c>
      <c r="D74" s="62">
        <v>1.0</v>
      </c>
      <c r="E74" s="61" t="s">
        <v>33</v>
      </c>
      <c r="F74" s="62">
        <v>1.0</v>
      </c>
      <c r="G74" s="67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6"/>
      <c r="S74" s="66"/>
      <c r="T74" s="66"/>
      <c r="U74" s="66"/>
      <c r="V74" s="66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</row>
    <row r="75">
      <c r="A75" s="25"/>
      <c r="B75" s="25"/>
      <c r="C75" s="61" t="s">
        <v>30</v>
      </c>
      <c r="D75" s="62">
        <v>1.0</v>
      </c>
      <c r="E75" s="61" t="s">
        <v>35</v>
      </c>
      <c r="F75" s="62">
        <v>1.0</v>
      </c>
      <c r="G75" s="67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6"/>
      <c r="S75" s="66"/>
      <c r="T75" s="66"/>
      <c r="U75" s="66"/>
      <c r="V75" s="66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</row>
    <row r="76">
      <c r="A76" s="25"/>
      <c r="B76" s="25"/>
      <c r="C76" s="63" t="s">
        <v>69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>
      <c r="A77" s="26"/>
      <c r="B77" s="26"/>
      <c r="C77" s="63" t="s">
        <v>38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>
      <c r="A78" s="59" t="s">
        <v>37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8"/>
      <c r="N78" s="48"/>
      <c r="O78" s="48"/>
      <c r="P78" s="48"/>
      <c r="Q78" s="48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9"/>
      <c r="AC78" s="49"/>
      <c r="AD78" s="49"/>
      <c r="AE78" s="49"/>
      <c r="AF78" s="49"/>
      <c r="AG78" s="49"/>
      <c r="AH78" s="49"/>
      <c r="AI78" s="49"/>
      <c r="AJ78" s="49"/>
      <c r="AK78" s="49"/>
    </row>
    <row r="79">
      <c r="A79" s="59" t="s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8"/>
      <c r="N79" s="48"/>
      <c r="O79" s="48"/>
      <c r="P79" s="48"/>
      <c r="Q79" s="48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9"/>
      <c r="AC79" s="49"/>
      <c r="AD79" s="49"/>
      <c r="AE79" s="49"/>
      <c r="AF79" s="49"/>
      <c r="AG79" s="49"/>
      <c r="AH79" s="49"/>
      <c r="AI79" s="49"/>
      <c r="AJ79" s="49"/>
      <c r="AK79" s="49"/>
    </row>
    <row r="80">
      <c r="A80" s="60" t="s">
        <v>75</v>
      </c>
      <c r="B80" s="60" t="s">
        <v>76</v>
      </c>
      <c r="C80" s="61" t="s">
        <v>77</v>
      </c>
      <c r="D80" s="62">
        <v>2.0</v>
      </c>
      <c r="E80" s="61" t="s">
        <v>78</v>
      </c>
      <c r="F80" s="62">
        <v>2.0</v>
      </c>
      <c r="G80" s="19" t="s">
        <v>79</v>
      </c>
      <c r="H80" s="2"/>
      <c r="I80" s="2"/>
      <c r="J80" s="2"/>
      <c r="K80" s="2"/>
      <c r="L80" s="2"/>
      <c r="M80" s="20"/>
      <c r="N80" s="20"/>
      <c r="O80" s="20"/>
      <c r="P80" s="20"/>
      <c r="Q80" s="20"/>
      <c r="R80" s="21"/>
      <c r="S80" s="21"/>
      <c r="T80" s="21"/>
      <c r="U80" s="21"/>
      <c r="V80" s="21"/>
      <c r="W80" s="22"/>
      <c r="X80" s="22"/>
      <c r="Y80" s="22"/>
      <c r="Z80" s="22"/>
      <c r="AA80" s="22"/>
      <c r="AB80" s="23">
        <v>0.541</v>
      </c>
      <c r="AC80" s="23">
        <v>0.7541</v>
      </c>
      <c r="AD80" s="23">
        <v>0.8361</v>
      </c>
      <c r="AE80" s="23">
        <v>0.918</v>
      </c>
      <c r="AF80" s="23">
        <v>0.918</v>
      </c>
      <c r="AG80" s="24">
        <v>0.5656</v>
      </c>
      <c r="AH80" s="24">
        <v>0.7131</v>
      </c>
      <c r="AI80" s="24">
        <v>0.7541</v>
      </c>
      <c r="AJ80" s="24">
        <v>0.8033</v>
      </c>
      <c r="AK80" s="24">
        <v>0.8279</v>
      </c>
    </row>
    <row r="81">
      <c r="A81" s="25"/>
      <c r="B81" s="25"/>
      <c r="C81" s="61" t="s">
        <v>80</v>
      </c>
      <c r="D81" s="62">
        <v>2.0</v>
      </c>
      <c r="E81" s="61" t="s">
        <v>81</v>
      </c>
      <c r="F81" s="62">
        <v>2.0</v>
      </c>
      <c r="G81" s="25"/>
      <c r="H81" s="2"/>
      <c r="I81" s="2"/>
      <c r="J81" s="2"/>
      <c r="K81" s="2"/>
      <c r="L81" s="2"/>
      <c r="M81" s="20"/>
      <c r="N81" s="20"/>
      <c r="O81" s="20"/>
      <c r="P81" s="20"/>
      <c r="Q81" s="20"/>
      <c r="R81" s="21"/>
      <c r="S81" s="21"/>
      <c r="T81" s="21"/>
      <c r="U81" s="21"/>
      <c r="V81" s="21"/>
      <c r="W81" s="22"/>
      <c r="X81" s="22"/>
      <c r="Y81" s="22"/>
      <c r="Z81" s="22"/>
      <c r="AA81" s="22"/>
      <c r="AB81" s="23">
        <v>0.6721</v>
      </c>
      <c r="AC81" s="23">
        <v>0.7541</v>
      </c>
      <c r="AD81" s="23">
        <v>0.8197</v>
      </c>
      <c r="AE81" s="23">
        <v>0.8361</v>
      </c>
      <c r="AF81" s="23">
        <v>0.8525</v>
      </c>
      <c r="AG81" s="24">
        <v>0.5574</v>
      </c>
      <c r="AH81" s="24">
        <v>0.7295</v>
      </c>
      <c r="AI81" s="24">
        <v>0.8197</v>
      </c>
      <c r="AJ81" s="24">
        <v>0.8689</v>
      </c>
      <c r="AK81" s="24">
        <v>0.8852</v>
      </c>
    </row>
    <row r="82">
      <c r="A82" s="25"/>
      <c r="B82" s="25"/>
      <c r="C82" s="61" t="s">
        <v>82</v>
      </c>
      <c r="D82" s="62">
        <v>2.0</v>
      </c>
      <c r="E82" s="61" t="s">
        <v>83</v>
      </c>
      <c r="F82" s="62">
        <v>2.0</v>
      </c>
      <c r="G82" s="25"/>
      <c r="H82" s="2"/>
      <c r="I82" s="2"/>
      <c r="J82" s="2"/>
      <c r="K82" s="2"/>
      <c r="L82" s="2"/>
      <c r="M82" s="20"/>
      <c r="N82" s="20"/>
      <c r="O82" s="20"/>
      <c r="P82" s="20"/>
      <c r="Q82" s="20"/>
      <c r="R82" s="21"/>
      <c r="S82" s="21"/>
      <c r="T82" s="21"/>
      <c r="U82" s="21"/>
      <c r="V82" s="21"/>
      <c r="W82" s="22"/>
      <c r="X82" s="22"/>
      <c r="Y82" s="22"/>
      <c r="Z82" s="22"/>
      <c r="AA82" s="22"/>
      <c r="AB82" s="23">
        <v>0.5246</v>
      </c>
      <c r="AC82" s="23">
        <v>0.6885</v>
      </c>
      <c r="AD82" s="23">
        <v>0.7869</v>
      </c>
      <c r="AE82" s="23">
        <v>0.8525</v>
      </c>
      <c r="AF82" s="23">
        <v>0.8689</v>
      </c>
      <c r="AG82" s="24">
        <v>0.4754</v>
      </c>
      <c r="AH82" s="24">
        <v>0.6557</v>
      </c>
      <c r="AI82" s="24">
        <v>0.6967</v>
      </c>
      <c r="AJ82" s="24">
        <v>0.7705</v>
      </c>
      <c r="AK82" s="24">
        <v>0.8115</v>
      </c>
    </row>
    <row r="83">
      <c r="A83" s="25"/>
      <c r="B83" s="25"/>
      <c r="C83" s="61" t="s">
        <v>77</v>
      </c>
      <c r="D83" s="62">
        <v>2.0</v>
      </c>
      <c r="E83" s="61" t="s">
        <v>84</v>
      </c>
      <c r="F83" s="62">
        <v>2.0</v>
      </c>
      <c r="G83" s="25"/>
      <c r="H83" s="2"/>
      <c r="I83" s="2"/>
      <c r="J83" s="2"/>
      <c r="K83" s="2"/>
      <c r="L83" s="2"/>
      <c r="M83" s="20"/>
      <c r="N83" s="20"/>
      <c r="O83" s="20"/>
      <c r="P83" s="20"/>
      <c r="Q83" s="20"/>
      <c r="R83" s="21"/>
      <c r="S83" s="21"/>
      <c r="T83" s="21"/>
      <c r="U83" s="21"/>
      <c r="V83" s="21"/>
      <c r="W83" s="22"/>
      <c r="X83" s="22"/>
      <c r="Y83" s="22"/>
      <c r="Z83" s="22"/>
      <c r="AA83" s="22"/>
      <c r="AB83" s="23">
        <v>0.6066</v>
      </c>
      <c r="AC83" s="23">
        <v>0.7377</v>
      </c>
      <c r="AD83" s="23">
        <v>0.8197</v>
      </c>
      <c r="AE83" s="23">
        <v>0.9016</v>
      </c>
      <c r="AF83" s="23">
        <v>0.918</v>
      </c>
      <c r="AG83" s="24">
        <v>0.541</v>
      </c>
      <c r="AH83" s="24">
        <v>0.6885</v>
      </c>
      <c r="AI83" s="24">
        <v>0.7705</v>
      </c>
      <c r="AJ83" s="24">
        <v>0.8033</v>
      </c>
      <c r="AK83" s="24">
        <v>0.8443</v>
      </c>
    </row>
    <row r="84">
      <c r="A84" s="25"/>
      <c r="B84" s="25"/>
      <c r="C84" s="61" t="s">
        <v>80</v>
      </c>
      <c r="D84" s="62">
        <v>2.0</v>
      </c>
      <c r="E84" s="61" t="s">
        <v>85</v>
      </c>
      <c r="F84" s="62">
        <v>2.0</v>
      </c>
      <c r="G84" s="25"/>
      <c r="H84" s="2"/>
      <c r="I84" s="2"/>
      <c r="J84" s="2"/>
      <c r="K84" s="2"/>
      <c r="L84" s="2"/>
      <c r="M84" s="20"/>
      <c r="N84" s="20"/>
      <c r="O84" s="20"/>
      <c r="P84" s="20"/>
      <c r="Q84" s="20"/>
      <c r="R84" s="21"/>
      <c r="S84" s="21"/>
      <c r="T84" s="21"/>
      <c r="U84" s="21"/>
      <c r="V84" s="21"/>
      <c r="W84" s="22"/>
      <c r="X84" s="22"/>
      <c r="Y84" s="22"/>
      <c r="Z84" s="22"/>
      <c r="AA84" s="22"/>
      <c r="AB84" s="23">
        <v>0.6557</v>
      </c>
      <c r="AC84" s="23">
        <v>0.8033</v>
      </c>
      <c r="AD84" s="23">
        <v>0.8525</v>
      </c>
      <c r="AE84" s="23">
        <v>0.918</v>
      </c>
      <c r="AF84" s="23">
        <v>0.9344</v>
      </c>
      <c r="AG84" s="24">
        <v>0.5738</v>
      </c>
      <c r="AH84" s="24">
        <v>0.7377</v>
      </c>
      <c r="AI84" s="24">
        <v>0.8033</v>
      </c>
      <c r="AJ84" s="24">
        <v>0.8525</v>
      </c>
      <c r="AK84" s="24">
        <v>0.8852</v>
      </c>
    </row>
    <row r="85">
      <c r="A85" s="25"/>
      <c r="B85" s="25"/>
      <c r="C85" s="61" t="s">
        <v>86</v>
      </c>
      <c r="D85" s="62">
        <v>2.0</v>
      </c>
      <c r="E85" s="61" t="s">
        <v>83</v>
      </c>
      <c r="F85" s="62">
        <v>2.0</v>
      </c>
      <c r="G85" s="25"/>
      <c r="H85" s="2"/>
      <c r="I85" s="2"/>
      <c r="J85" s="2"/>
      <c r="K85" s="2"/>
      <c r="L85" s="2"/>
      <c r="M85" s="20"/>
      <c r="N85" s="20"/>
      <c r="O85" s="20"/>
      <c r="P85" s="20"/>
      <c r="Q85" s="20"/>
      <c r="R85" s="21"/>
      <c r="S85" s="21"/>
      <c r="T85" s="21"/>
      <c r="U85" s="21"/>
      <c r="V85" s="21"/>
      <c r="W85" s="22"/>
      <c r="X85" s="22"/>
      <c r="Y85" s="22"/>
      <c r="Z85" s="22"/>
      <c r="AA85" s="22"/>
      <c r="AB85" s="23">
        <v>0.5902</v>
      </c>
      <c r="AC85" s="23">
        <v>0.7705</v>
      </c>
      <c r="AD85" s="23">
        <v>0.8852</v>
      </c>
      <c r="AE85" s="23">
        <v>0.8852</v>
      </c>
      <c r="AF85" s="23">
        <v>0.9016</v>
      </c>
      <c r="AG85" s="24">
        <v>0.5492</v>
      </c>
      <c r="AH85" s="24">
        <v>0.6721</v>
      </c>
      <c r="AI85" s="24">
        <v>0.8279</v>
      </c>
      <c r="AJ85" s="24">
        <v>0.8689</v>
      </c>
      <c r="AK85" s="24">
        <v>0.9098</v>
      </c>
    </row>
    <row r="86">
      <c r="A86" s="25"/>
      <c r="B86" s="25"/>
      <c r="C86" s="61" t="s">
        <v>78</v>
      </c>
      <c r="D86" s="62">
        <v>2.0</v>
      </c>
      <c r="E86" s="61" t="s">
        <v>84</v>
      </c>
      <c r="F86" s="62">
        <v>2.0</v>
      </c>
      <c r="G86" s="25"/>
      <c r="H86" s="2"/>
      <c r="I86" s="2"/>
      <c r="J86" s="2"/>
      <c r="K86" s="2"/>
      <c r="L86" s="2"/>
      <c r="M86" s="20"/>
      <c r="N86" s="20"/>
      <c r="O86" s="20"/>
      <c r="P86" s="20"/>
      <c r="Q86" s="20"/>
      <c r="R86" s="21"/>
      <c r="S86" s="21"/>
      <c r="T86" s="21"/>
      <c r="U86" s="21"/>
      <c r="V86" s="21"/>
      <c r="W86" s="22"/>
      <c r="X86" s="22"/>
      <c r="Y86" s="22"/>
      <c r="Z86" s="22"/>
      <c r="AA86" s="22"/>
      <c r="AB86" s="23">
        <v>0.7049</v>
      </c>
      <c r="AC86" s="23">
        <v>0.7705</v>
      </c>
      <c r="AD86" s="23">
        <v>0.8689</v>
      </c>
      <c r="AE86" s="23">
        <v>0.8852</v>
      </c>
      <c r="AF86" s="23">
        <v>0.9016</v>
      </c>
      <c r="AG86" s="24">
        <v>0.5574</v>
      </c>
      <c r="AH86" s="24">
        <v>0.7295</v>
      </c>
      <c r="AI86" s="24">
        <v>0.7951</v>
      </c>
      <c r="AJ86" s="24">
        <v>0.8197</v>
      </c>
      <c r="AK86" s="24">
        <v>0.8525</v>
      </c>
    </row>
    <row r="87">
      <c r="A87" s="25"/>
      <c r="B87" s="25"/>
      <c r="C87" s="61" t="s">
        <v>81</v>
      </c>
      <c r="D87" s="62">
        <v>2.0</v>
      </c>
      <c r="E87" s="61" t="s">
        <v>85</v>
      </c>
      <c r="F87" s="62">
        <v>2.0</v>
      </c>
      <c r="G87" s="26"/>
      <c r="H87" s="2"/>
      <c r="I87" s="2"/>
      <c r="J87" s="2"/>
      <c r="K87" s="2"/>
      <c r="L87" s="2"/>
      <c r="M87" s="20"/>
      <c r="N87" s="20"/>
      <c r="O87" s="20"/>
      <c r="P87" s="20"/>
      <c r="Q87" s="20"/>
      <c r="R87" s="21"/>
      <c r="S87" s="21"/>
      <c r="T87" s="21"/>
      <c r="U87" s="21"/>
      <c r="V87" s="21"/>
      <c r="W87" s="22"/>
      <c r="X87" s="22"/>
      <c r="Y87" s="22"/>
      <c r="Z87" s="22"/>
      <c r="AA87" s="22"/>
      <c r="AB87" s="23">
        <v>0.6885</v>
      </c>
      <c r="AC87" s="23">
        <v>0.7705</v>
      </c>
      <c r="AD87" s="23">
        <v>0.8197</v>
      </c>
      <c r="AE87" s="23">
        <v>0.8525</v>
      </c>
      <c r="AF87" s="23">
        <v>0.8852</v>
      </c>
      <c r="AG87" s="24">
        <v>0.5</v>
      </c>
      <c r="AH87" s="24">
        <v>0.6148</v>
      </c>
      <c r="AI87" s="24">
        <v>0.7541</v>
      </c>
      <c r="AJ87" s="24">
        <v>0.8197</v>
      </c>
      <c r="AK87" s="24">
        <v>0.8525</v>
      </c>
    </row>
    <row r="88">
      <c r="A88" s="68" t="s">
        <v>37</v>
      </c>
      <c r="B88" s="68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8"/>
      <c r="N88" s="48"/>
      <c r="O88" s="48"/>
      <c r="P88" s="48"/>
      <c r="Q88" s="48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9">
        <f t="shared" ref="AB88:AK88" si="9">AVERAGE(AB79:AB87)</f>
        <v>0.62295</v>
      </c>
      <c r="AC88" s="49">
        <f t="shared" si="9"/>
        <v>0.75615</v>
      </c>
      <c r="AD88" s="49">
        <f t="shared" si="9"/>
        <v>0.8360875</v>
      </c>
      <c r="AE88" s="49">
        <f t="shared" si="9"/>
        <v>0.8811375</v>
      </c>
      <c r="AF88" s="49">
        <f t="shared" si="9"/>
        <v>0.897525</v>
      </c>
      <c r="AG88" s="49">
        <f t="shared" si="9"/>
        <v>0.539975</v>
      </c>
      <c r="AH88" s="49">
        <f t="shared" si="9"/>
        <v>0.6926125</v>
      </c>
      <c r="AI88" s="49">
        <f t="shared" si="9"/>
        <v>0.777675</v>
      </c>
      <c r="AJ88" s="49">
        <f t="shared" si="9"/>
        <v>0.82585</v>
      </c>
      <c r="AK88" s="49">
        <f t="shared" si="9"/>
        <v>0.8586125</v>
      </c>
    </row>
    <row r="89">
      <c r="A89" s="59" t="s">
        <v>38</v>
      </c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8"/>
      <c r="N89" s="48"/>
      <c r="O89" s="48"/>
      <c r="P89" s="48"/>
      <c r="Q89" s="48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9">
        <f t="shared" ref="AB89:AK89" si="10">STDEV(AB79:AB87)</f>
        <v>0.06785415031</v>
      </c>
      <c r="AC89" s="49">
        <f t="shared" si="10"/>
        <v>0.03330855746</v>
      </c>
      <c r="AD89" s="49">
        <f t="shared" si="10"/>
        <v>0.03158464534</v>
      </c>
      <c r="AE89" s="49">
        <f t="shared" si="10"/>
        <v>0.03125471107</v>
      </c>
      <c r="AF89" s="49">
        <f t="shared" si="10"/>
        <v>0.02733384872</v>
      </c>
      <c r="AG89" s="49">
        <f t="shared" si="10"/>
        <v>0.03435552565</v>
      </c>
      <c r="AH89" s="49">
        <f t="shared" si="10"/>
        <v>0.043142602</v>
      </c>
      <c r="AI89" s="49">
        <f t="shared" si="10"/>
        <v>0.04304302665</v>
      </c>
      <c r="AJ89" s="49">
        <f t="shared" si="10"/>
        <v>0.03499612223</v>
      </c>
      <c r="AK89" s="49">
        <f t="shared" si="10"/>
        <v>0.03268107524</v>
      </c>
    </row>
    <row r="90">
      <c r="A90" s="60" t="s">
        <v>87</v>
      </c>
      <c r="B90" s="60" t="s">
        <v>88</v>
      </c>
      <c r="C90" s="61" t="s">
        <v>89</v>
      </c>
      <c r="D90" s="62">
        <v>4.0</v>
      </c>
      <c r="E90" s="61" t="s">
        <v>83</v>
      </c>
      <c r="F90" s="62">
        <v>4.0</v>
      </c>
      <c r="G90" s="19" t="s">
        <v>90</v>
      </c>
      <c r="H90" s="2"/>
      <c r="I90" s="2"/>
      <c r="J90" s="2"/>
      <c r="K90" s="2"/>
      <c r="L90" s="2"/>
      <c r="M90" s="20"/>
      <c r="N90" s="20"/>
      <c r="O90" s="20"/>
      <c r="P90" s="20"/>
      <c r="Q90" s="20"/>
      <c r="R90" s="21"/>
      <c r="S90" s="21"/>
      <c r="T90" s="21"/>
      <c r="U90" s="21"/>
      <c r="V90" s="21"/>
      <c r="W90" s="22"/>
      <c r="X90" s="22"/>
      <c r="Y90" s="22"/>
      <c r="Z90" s="22"/>
      <c r="AA90" s="22"/>
      <c r="AB90" s="23">
        <v>0.623</v>
      </c>
      <c r="AC90" s="23">
        <v>0.7705</v>
      </c>
      <c r="AD90" s="23">
        <v>0.8852</v>
      </c>
      <c r="AE90" s="23">
        <v>0.9508</v>
      </c>
      <c r="AF90" s="23">
        <v>0.9672</v>
      </c>
      <c r="AG90" s="24">
        <v>0.541</v>
      </c>
      <c r="AH90" s="24">
        <v>0.7623</v>
      </c>
      <c r="AI90" s="24">
        <v>0.8525</v>
      </c>
      <c r="AJ90" s="24">
        <v>0.918</v>
      </c>
      <c r="AK90" s="24">
        <v>0.9262</v>
      </c>
    </row>
    <row r="91">
      <c r="A91" s="25"/>
      <c r="B91" s="25"/>
      <c r="C91" s="61" t="s">
        <v>91</v>
      </c>
      <c r="D91" s="62">
        <v>4.0</v>
      </c>
      <c r="E91" s="61" t="s">
        <v>92</v>
      </c>
      <c r="F91" s="62">
        <v>4.0</v>
      </c>
      <c r="G91" s="25"/>
      <c r="H91" s="2"/>
      <c r="I91" s="2"/>
      <c r="J91" s="2"/>
      <c r="K91" s="2"/>
      <c r="L91" s="2"/>
      <c r="M91" s="20"/>
      <c r="N91" s="20"/>
      <c r="O91" s="20"/>
      <c r="P91" s="20"/>
      <c r="Q91" s="20"/>
      <c r="R91" s="21"/>
      <c r="S91" s="21"/>
      <c r="T91" s="21"/>
      <c r="U91" s="21"/>
      <c r="V91" s="21"/>
      <c r="W91" s="22"/>
      <c r="X91" s="22"/>
      <c r="Y91" s="22"/>
      <c r="Z91" s="22"/>
      <c r="AA91" s="22"/>
      <c r="AB91" s="23">
        <v>0.5902</v>
      </c>
      <c r="AC91" s="23">
        <v>0.8033</v>
      </c>
      <c r="AD91" s="23">
        <v>0.9016</v>
      </c>
      <c r="AE91" s="23">
        <v>0.9344</v>
      </c>
      <c r="AF91" s="23">
        <v>0.9836</v>
      </c>
      <c r="AG91" s="24">
        <v>0.7131</v>
      </c>
      <c r="AH91" s="24">
        <v>0.8607</v>
      </c>
      <c r="AI91" s="24">
        <v>0.9262</v>
      </c>
      <c r="AJ91" s="24">
        <v>0.9344</v>
      </c>
      <c r="AK91" s="24">
        <v>0.9508</v>
      </c>
    </row>
    <row r="92">
      <c r="A92" s="25"/>
      <c r="B92" s="25"/>
      <c r="C92" s="61" t="s">
        <v>93</v>
      </c>
      <c r="D92" s="62">
        <v>4.0</v>
      </c>
      <c r="E92" s="61" t="s">
        <v>94</v>
      </c>
      <c r="F92" s="62">
        <v>4.0</v>
      </c>
      <c r="G92" s="25"/>
      <c r="H92" s="2"/>
      <c r="I92" s="2"/>
      <c r="J92" s="2"/>
      <c r="K92" s="2"/>
      <c r="L92" s="2"/>
      <c r="M92" s="20"/>
      <c r="N92" s="20"/>
      <c r="O92" s="20"/>
      <c r="P92" s="20"/>
      <c r="Q92" s="20"/>
      <c r="R92" s="21"/>
      <c r="S92" s="21"/>
      <c r="T92" s="21"/>
      <c r="U92" s="21"/>
      <c r="V92" s="21"/>
      <c r="W92" s="22"/>
      <c r="X92" s="22"/>
      <c r="Y92" s="22"/>
      <c r="Z92" s="22"/>
      <c r="AA92" s="22"/>
      <c r="AB92" s="23">
        <v>0.7049</v>
      </c>
      <c r="AC92" s="23">
        <v>0.8689</v>
      </c>
      <c r="AD92" s="23">
        <v>0.9508</v>
      </c>
      <c r="AE92" s="23">
        <v>0.9508</v>
      </c>
      <c r="AF92" s="23">
        <v>0.9672</v>
      </c>
      <c r="AG92" s="24">
        <v>0.6557</v>
      </c>
      <c r="AH92" s="24">
        <v>0.877</v>
      </c>
      <c r="AI92" s="24">
        <v>0.9508</v>
      </c>
      <c r="AJ92" s="24">
        <v>0.9836</v>
      </c>
      <c r="AK92" s="24">
        <v>0.9918</v>
      </c>
    </row>
    <row r="93">
      <c r="A93" s="25"/>
      <c r="B93" s="25"/>
      <c r="C93" s="61" t="s">
        <v>95</v>
      </c>
      <c r="D93" s="62">
        <v>4.0</v>
      </c>
      <c r="E93" s="61" t="s">
        <v>96</v>
      </c>
      <c r="F93" s="62">
        <v>4.0</v>
      </c>
      <c r="G93" s="25"/>
      <c r="H93" s="2"/>
      <c r="I93" s="2"/>
      <c r="J93" s="2"/>
      <c r="K93" s="2"/>
      <c r="L93" s="2"/>
      <c r="M93" s="20"/>
      <c r="N93" s="20"/>
      <c r="O93" s="20"/>
      <c r="P93" s="20"/>
      <c r="Q93" s="20"/>
      <c r="R93" s="21"/>
      <c r="S93" s="21"/>
      <c r="T93" s="21"/>
      <c r="U93" s="21"/>
      <c r="V93" s="21"/>
      <c r="W93" s="22"/>
      <c r="X93" s="22"/>
      <c r="Y93" s="22"/>
      <c r="Z93" s="22"/>
      <c r="AA93" s="22"/>
      <c r="AB93" s="23">
        <v>0.6721</v>
      </c>
      <c r="AC93" s="23">
        <v>0.8361</v>
      </c>
      <c r="AD93" s="23">
        <v>0.918</v>
      </c>
      <c r="AE93" s="23">
        <v>0.9508</v>
      </c>
      <c r="AF93" s="23">
        <v>0.9672</v>
      </c>
      <c r="AG93" s="24">
        <v>0.5984</v>
      </c>
      <c r="AH93" s="24">
        <v>0.7623</v>
      </c>
      <c r="AI93" s="24">
        <v>0.877</v>
      </c>
      <c r="AJ93" s="24">
        <v>0.9262</v>
      </c>
      <c r="AK93" s="24">
        <v>0.9344</v>
      </c>
    </row>
    <row r="94">
      <c r="A94" s="25"/>
      <c r="B94" s="25"/>
      <c r="C94" s="61" t="s">
        <v>97</v>
      </c>
      <c r="D94" s="62">
        <v>4.0</v>
      </c>
      <c r="E94" s="61" t="s">
        <v>98</v>
      </c>
      <c r="F94" s="62">
        <v>4.0</v>
      </c>
      <c r="G94" s="25"/>
      <c r="H94" s="2"/>
      <c r="I94" s="2"/>
      <c r="J94" s="2"/>
      <c r="K94" s="2"/>
      <c r="L94" s="2"/>
      <c r="M94" s="20"/>
      <c r="N94" s="20"/>
      <c r="O94" s="20"/>
      <c r="P94" s="20"/>
      <c r="Q94" s="20"/>
      <c r="R94" s="21"/>
      <c r="S94" s="21"/>
      <c r="T94" s="21"/>
      <c r="U94" s="21"/>
      <c r="V94" s="21"/>
      <c r="W94" s="22"/>
      <c r="X94" s="22"/>
      <c r="Y94" s="22"/>
      <c r="Z94" s="22"/>
      <c r="AA94" s="22"/>
      <c r="AB94" s="23">
        <v>0.7049</v>
      </c>
      <c r="AC94" s="23">
        <v>0.8689</v>
      </c>
      <c r="AD94" s="23">
        <v>0.918</v>
      </c>
      <c r="AE94" s="23">
        <v>0.9508</v>
      </c>
      <c r="AF94" s="23">
        <v>0.9672</v>
      </c>
      <c r="AG94" s="24">
        <v>0.6721</v>
      </c>
      <c r="AH94" s="24">
        <v>0.8361</v>
      </c>
      <c r="AI94" s="24">
        <v>0.918</v>
      </c>
      <c r="AJ94" s="24">
        <v>0.9426</v>
      </c>
      <c r="AK94" s="24">
        <v>0.9672</v>
      </c>
    </row>
    <row r="95">
      <c r="A95" s="25"/>
      <c r="B95" s="25"/>
      <c r="C95" s="61" t="s">
        <v>99</v>
      </c>
      <c r="D95" s="62">
        <v>4.0</v>
      </c>
      <c r="E95" s="61" t="s">
        <v>100</v>
      </c>
      <c r="F95" s="62">
        <v>4.0</v>
      </c>
      <c r="G95" s="25"/>
      <c r="H95" s="2"/>
      <c r="I95" s="2"/>
      <c r="J95" s="2"/>
      <c r="K95" s="2"/>
      <c r="L95" s="2"/>
      <c r="M95" s="20"/>
      <c r="N95" s="20"/>
      <c r="O95" s="20"/>
      <c r="P95" s="20"/>
      <c r="Q95" s="20"/>
      <c r="R95" s="21"/>
      <c r="S95" s="21"/>
      <c r="T95" s="21"/>
      <c r="U95" s="21"/>
      <c r="V95" s="21"/>
      <c r="W95" s="22"/>
      <c r="X95" s="22"/>
      <c r="Y95" s="22"/>
      <c r="Z95" s="22"/>
      <c r="AA95" s="22"/>
      <c r="AB95" s="23">
        <v>0.7213</v>
      </c>
      <c r="AC95" s="23">
        <v>0.8689</v>
      </c>
      <c r="AD95" s="23">
        <v>0.9344</v>
      </c>
      <c r="AE95" s="23">
        <v>0.9344</v>
      </c>
      <c r="AF95" s="23">
        <v>0.9508</v>
      </c>
      <c r="AG95" s="24">
        <v>0.7459</v>
      </c>
      <c r="AH95" s="24">
        <v>0.8689</v>
      </c>
      <c r="AI95" s="24">
        <v>0.918</v>
      </c>
      <c r="AJ95" s="24">
        <v>0.9508</v>
      </c>
      <c r="AK95" s="24">
        <v>0.9672</v>
      </c>
    </row>
    <row r="96">
      <c r="A96" s="25"/>
      <c r="B96" s="25"/>
      <c r="C96" s="61" t="s">
        <v>101</v>
      </c>
      <c r="D96" s="62">
        <v>4.0</v>
      </c>
      <c r="E96" s="61" t="s">
        <v>102</v>
      </c>
      <c r="F96" s="62">
        <v>4.0</v>
      </c>
      <c r="G96" s="25"/>
      <c r="H96" s="2"/>
      <c r="I96" s="2"/>
      <c r="J96" s="2"/>
      <c r="K96" s="2"/>
      <c r="L96" s="2"/>
      <c r="M96" s="20"/>
      <c r="N96" s="20"/>
      <c r="O96" s="20"/>
      <c r="P96" s="20"/>
      <c r="Q96" s="20"/>
      <c r="R96" s="21"/>
      <c r="S96" s="21"/>
      <c r="T96" s="21"/>
      <c r="U96" s="21"/>
      <c r="V96" s="21"/>
      <c r="W96" s="22"/>
      <c r="X96" s="22"/>
      <c r="Y96" s="22"/>
      <c r="Z96" s="22"/>
      <c r="AA96" s="22"/>
      <c r="AB96" s="23">
        <v>0.7213</v>
      </c>
      <c r="AC96" s="23">
        <v>0.9344</v>
      </c>
      <c r="AD96" s="23">
        <v>0.9672</v>
      </c>
      <c r="AE96" s="23">
        <v>0.9672</v>
      </c>
      <c r="AF96" s="23">
        <v>0.9836</v>
      </c>
      <c r="AG96" s="24">
        <v>0.6066</v>
      </c>
      <c r="AH96" s="24">
        <v>0.8279</v>
      </c>
      <c r="AI96" s="24">
        <v>0.918</v>
      </c>
      <c r="AJ96" s="24">
        <v>0.9508</v>
      </c>
      <c r="AK96" s="24">
        <v>0.959</v>
      </c>
    </row>
    <row r="97">
      <c r="A97" s="25"/>
      <c r="B97" s="25"/>
      <c r="C97" s="61" t="s">
        <v>103</v>
      </c>
      <c r="D97" s="62">
        <v>4.0</v>
      </c>
      <c r="E97" s="61" t="s">
        <v>104</v>
      </c>
      <c r="F97" s="62">
        <v>4.0</v>
      </c>
      <c r="G97" s="25"/>
      <c r="H97" s="2"/>
      <c r="I97" s="2"/>
      <c r="J97" s="2"/>
      <c r="K97" s="2"/>
      <c r="L97" s="2"/>
      <c r="M97" s="20"/>
      <c r="N97" s="20"/>
      <c r="O97" s="20"/>
      <c r="P97" s="20"/>
      <c r="Q97" s="20"/>
      <c r="R97" s="21"/>
      <c r="S97" s="21"/>
      <c r="T97" s="21"/>
      <c r="U97" s="21"/>
      <c r="V97" s="21"/>
      <c r="W97" s="22"/>
      <c r="X97" s="22"/>
      <c r="Y97" s="22"/>
      <c r="Z97" s="22"/>
      <c r="AA97" s="22"/>
      <c r="AB97" s="23">
        <v>0.7049</v>
      </c>
      <c r="AC97" s="23">
        <v>0.8525</v>
      </c>
      <c r="AD97" s="23">
        <v>0.9016</v>
      </c>
      <c r="AE97" s="23">
        <v>0.9508</v>
      </c>
      <c r="AF97" s="23">
        <v>0.9508</v>
      </c>
      <c r="AG97" s="24">
        <v>0.6721</v>
      </c>
      <c r="AH97" s="24">
        <v>0.8607</v>
      </c>
      <c r="AI97" s="24">
        <v>0.9344</v>
      </c>
      <c r="AJ97" s="24">
        <v>0.9426</v>
      </c>
      <c r="AK97" s="24">
        <v>0.959</v>
      </c>
    </row>
    <row r="98">
      <c r="A98" s="26"/>
      <c r="B98" s="26"/>
      <c r="C98" s="61" t="s">
        <v>105</v>
      </c>
      <c r="D98" s="62">
        <v>4.0</v>
      </c>
      <c r="E98" s="61" t="s">
        <v>106</v>
      </c>
      <c r="F98" s="62">
        <v>4.0</v>
      </c>
      <c r="G98" s="26"/>
      <c r="H98" s="2"/>
      <c r="I98" s="2"/>
      <c r="J98" s="2"/>
      <c r="K98" s="2"/>
      <c r="L98" s="2"/>
      <c r="M98" s="20"/>
      <c r="N98" s="20"/>
      <c r="O98" s="20"/>
      <c r="P98" s="20"/>
      <c r="Q98" s="20"/>
      <c r="R98" s="21"/>
      <c r="S98" s="21"/>
      <c r="T98" s="21"/>
      <c r="U98" s="21"/>
      <c r="V98" s="21"/>
      <c r="W98" s="22"/>
      <c r="X98" s="22"/>
      <c r="Y98" s="22"/>
      <c r="Z98" s="22"/>
      <c r="AA98" s="22"/>
      <c r="AB98" s="23">
        <v>0.7377</v>
      </c>
      <c r="AC98" s="23">
        <v>0.8033</v>
      </c>
      <c r="AD98" s="23">
        <v>0.9016</v>
      </c>
      <c r="AE98" s="23">
        <v>0.9344</v>
      </c>
      <c r="AF98" s="23">
        <v>0.9672</v>
      </c>
      <c r="AG98" s="24">
        <v>0.6639</v>
      </c>
      <c r="AH98" s="24">
        <v>0.8607</v>
      </c>
      <c r="AI98" s="24">
        <v>0.9016</v>
      </c>
      <c r="AJ98" s="24">
        <v>0.9508</v>
      </c>
      <c r="AK98" s="24">
        <v>0.9754</v>
      </c>
    </row>
    <row r="99">
      <c r="A99" s="46" t="s">
        <v>37</v>
      </c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8"/>
      <c r="N99" s="48"/>
      <c r="O99" s="48"/>
      <c r="P99" s="48"/>
      <c r="Q99" s="48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9">
        <f t="shared" ref="AB99:AK99" si="11">AVERAGE(AB90:AB98)</f>
        <v>0.6867</v>
      </c>
      <c r="AC99" s="49">
        <f t="shared" si="11"/>
        <v>0.8452</v>
      </c>
      <c r="AD99" s="49">
        <f t="shared" si="11"/>
        <v>0.9198222222</v>
      </c>
      <c r="AE99" s="49">
        <f t="shared" si="11"/>
        <v>0.9471555556</v>
      </c>
      <c r="AF99" s="49">
        <f t="shared" si="11"/>
        <v>0.9672</v>
      </c>
      <c r="AG99" s="49">
        <f t="shared" si="11"/>
        <v>0.6520888889</v>
      </c>
      <c r="AH99" s="49">
        <f t="shared" si="11"/>
        <v>0.8351777778</v>
      </c>
      <c r="AI99" s="49">
        <f t="shared" si="11"/>
        <v>0.9107222222</v>
      </c>
      <c r="AJ99" s="49">
        <f t="shared" si="11"/>
        <v>0.9444222222</v>
      </c>
      <c r="AK99" s="49">
        <f t="shared" si="11"/>
        <v>0.959</v>
      </c>
    </row>
    <row r="100">
      <c r="A100" s="59" t="s">
        <v>40</v>
      </c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8"/>
      <c r="N100" s="48"/>
      <c r="O100" s="48"/>
      <c r="P100" s="48"/>
      <c r="Q100" s="48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9">
        <f t="shared" ref="AB100:AK100" si="12">STDEV(AB90:AB98)</f>
        <v>0.04946228361</v>
      </c>
      <c r="AC100" s="49">
        <f t="shared" si="12"/>
        <v>0.04856583161</v>
      </c>
      <c r="AD100" s="49">
        <f t="shared" si="12"/>
        <v>0.02650064989</v>
      </c>
      <c r="AE100" s="49">
        <f t="shared" si="12"/>
        <v>0.01093333333</v>
      </c>
      <c r="AF100" s="49">
        <f t="shared" si="12"/>
        <v>0.01159655121</v>
      </c>
      <c r="AG100" s="49">
        <f t="shared" si="12"/>
        <v>0.06201692197</v>
      </c>
      <c r="AH100" s="49">
        <f t="shared" si="12"/>
        <v>0.04404059996</v>
      </c>
      <c r="AI100" s="49">
        <f t="shared" si="12"/>
        <v>0.02994903078</v>
      </c>
      <c r="AJ100" s="49">
        <f t="shared" si="12"/>
        <v>0.01868888559</v>
      </c>
      <c r="AK100" s="49">
        <f t="shared" si="12"/>
        <v>0.02008581589</v>
      </c>
    </row>
    <row r="101">
      <c r="A101" s="69" t="s">
        <v>107</v>
      </c>
      <c r="B101" s="60" t="s">
        <v>108</v>
      </c>
      <c r="C101" s="61" t="s">
        <v>82</v>
      </c>
      <c r="D101" s="62">
        <v>2.0</v>
      </c>
      <c r="E101" s="61" t="s">
        <v>78</v>
      </c>
      <c r="F101" s="62">
        <v>2.0</v>
      </c>
      <c r="G101" s="19" t="s">
        <v>79</v>
      </c>
      <c r="H101" s="2"/>
      <c r="I101" s="2"/>
      <c r="J101" s="2"/>
      <c r="K101" s="2"/>
      <c r="L101" s="2"/>
      <c r="M101" s="20"/>
      <c r="N101" s="20"/>
      <c r="O101" s="20"/>
      <c r="P101" s="20"/>
      <c r="Q101" s="20"/>
      <c r="R101" s="21"/>
      <c r="S101" s="21"/>
      <c r="T101" s="21"/>
      <c r="U101" s="21"/>
      <c r="V101" s="21"/>
      <c r="W101" s="22"/>
      <c r="X101" s="22"/>
      <c r="Y101" s="22"/>
      <c r="Z101" s="22"/>
      <c r="AA101" s="22"/>
      <c r="AB101" s="23">
        <v>0.082</v>
      </c>
      <c r="AC101" s="23">
        <v>0.1475</v>
      </c>
      <c r="AD101" s="23">
        <v>0.1803</v>
      </c>
      <c r="AE101" s="23">
        <v>0.2295</v>
      </c>
      <c r="AF101" s="23">
        <v>0.2623</v>
      </c>
      <c r="AG101" s="24">
        <v>0.0902</v>
      </c>
      <c r="AH101" s="24">
        <v>0.1066</v>
      </c>
      <c r="AI101" s="24">
        <v>0.1557</v>
      </c>
      <c r="AJ101" s="24">
        <v>0.2049</v>
      </c>
      <c r="AK101" s="24">
        <v>0.2705</v>
      </c>
    </row>
    <row r="102">
      <c r="A102" s="25"/>
      <c r="B102" s="25"/>
      <c r="C102" s="61" t="s">
        <v>82</v>
      </c>
      <c r="D102" s="62">
        <v>2.0</v>
      </c>
      <c r="E102" s="61" t="s">
        <v>81</v>
      </c>
      <c r="F102" s="62">
        <v>2.0</v>
      </c>
      <c r="G102" s="25"/>
      <c r="H102" s="2"/>
      <c r="I102" s="2"/>
      <c r="J102" s="2"/>
      <c r="K102" s="2"/>
      <c r="L102" s="2"/>
      <c r="M102" s="20"/>
      <c r="N102" s="20"/>
      <c r="O102" s="20"/>
      <c r="P102" s="20"/>
      <c r="Q102" s="20"/>
      <c r="R102" s="21"/>
      <c r="S102" s="21"/>
      <c r="T102" s="21"/>
      <c r="U102" s="21"/>
      <c r="V102" s="21"/>
      <c r="W102" s="22"/>
      <c r="X102" s="22"/>
      <c r="Y102" s="22"/>
      <c r="Z102" s="22"/>
      <c r="AA102" s="22"/>
      <c r="AB102" s="23">
        <v>0.082</v>
      </c>
      <c r="AC102" s="23">
        <v>0.082</v>
      </c>
      <c r="AD102" s="23">
        <v>0.1311</v>
      </c>
      <c r="AE102" s="23">
        <v>0.1639</v>
      </c>
      <c r="AF102" s="23">
        <v>0.2295</v>
      </c>
      <c r="AG102" s="24">
        <v>0.1393</v>
      </c>
      <c r="AH102" s="24">
        <v>0.1639</v>
      </c>
      <c r="AI102" s="24">
        <v>0.1721</v>
      </c>
      <c r="AJ102" s="24">
        <v>0.1803</v>
      </c>
      <c r="AK102" s="24">
        <v>0.2131</v>
      </c>
    </row>
    <row r="103">
      <c r="A103" s="25"/>
      <c r="B103" s="25"/>
      <c r="C103" s="61" t="s">
        <v>77</v>
      </c>
      <c r="D103" s="62">
        <v>2.0</v>
      </c>
      <c r="E103" s="61" t="s">
        <v>81</v>
      </c>
      <c r="F103" s="62">
        <v>2.0</v>
      </c>
      <c r="G103" s="25"/>
      <c r="H103" s="2"/>
      <c r="I103" s="2"/>
      <c r="J103" s="2"/>
      <c r="K103" s="2"/>
      <c r="L103" s="2"/>
      <c r="M103" s="20"/>
      <c r="N103" s="20"/>
      <c r="O103" s="20"/>
      <c r="P103" s="20"/>
      <c r="Q103" s="20"/>
      <c r="R103" s="21"/>
      <c r="S103" s="21"/>
      <c r="T103" s="21"/>
      <c r="U103" s="21"/>
      <c r="V103" s="21"/>
      <c r="W103" s="22"/>
      <c r="X103" s="22"/>
      <c r="Y103" s="22"/>
      <c r="Z103" s="22"/>
      <c r="AA103" s="22"/>
      <c r="AB103" s="23">
        <v>0.0328</v>
      </c>
      <c r="AC103" s="23">
        <v>0.0984</v>
      </c>
      <c r="AD103" s="23">
        <v>0.1311</v>
      </c>
      <c r="AE103" s="23">
        <v>0.1967</v>
      </c>
      <c r="AF103" s="23">
        <v>0.2131</v>
      </c>
      <c r="AG103" s="24">
        <v>0.0738</v>
      </c>
      <c r="AH103" s="24">
        <v>0.1557</v>
      </c>
      <c r="AI103" s="24">
        <v>0.1803</v>
      </c>
      <c r="AJ103" s="24">
        <v>0.2541</v>
      </c>
      <c r="AK103" s="24">
        <v>0.2869</v>
      </c>
    </row>
    <row r="104">
      <c r="A104" s="25"/>
      <c r="B104" s="25"/>
      <c r="C104" s="61" t="s">
        <v>82</v>
      </c>
      <c r="D104" s="62">
        <v>2.0</v>
      </c>
      <c r="E104" s="61" t="s">
        <v>84</v>
      </c>
      <c r="F104" s="62">
        <v>2.0</v>
      </c>
      <c r="G104" s="25"/>
      <c r="H104" s="2"/>
      <c r="I104" s="2"/>
      <c r="J104" s="2"/>
      <c r="K104" s="2"/>
      <c r="L104" s="2"/>
      <c r="M104" s="20"/>
      <c r="N104" s="20"/>
      <c r="O104" s="20"/>
      <c r="P104" s="20"/>
      <c r="Q104" s="20"/>
      <c r="R104" s="21"/>
      <c r="S104" s="21"/>
      <c r="T104" s="21"/>
      <c r="U104" s="21"/>
      <c r="V104" s="21"/>
      <c r="W104" s="22"/>
      <c r="X104" s="22"/>
      <c r="Y104" s="22"/>
      <c r="Z104" s="22"/>
      <c r="AA104" s="22"/>
      <c r="AB104" s="23">
        <v>0.0492</v>
      </c>
      <c r="AC104" s="23">
        <v>0.1148</v>
      </c>
      <c r="AD104" s="23">
        <v>0.1803</v>
      </c>
      <c r="AE104" s="23">
        <v>0.2459</v>
      </c>
      <c r="AF104" s="23">
        <v>0.2787</v>
      </c>
      <c r="AG104" s="24">
        <v>0.0902</v>
      </c>
      <c r="AH104" s="24">
        <v>0.1393</v>
      </c>
      <c r="AI104" s="24">
        <v>0.1557</v>
      </c>
      <c r="AJ104" s="24">
        <v>0.1803</v>
      </c>
      <c r="AK104" s="24">
        <v>0.2295</v>
      </c>
    </row>
    <row r="105">
      <c r="A105" s="25"/>
      <c r="B105" s="25"/>
      <c r="C105" s="61" t="s">
        <v>82</v>
      </c>
      <c r="D105" s="62">
        <v>2.0</v>
      </c>
      <c r="E105" s="61" t="s">
        <v>85</v>
      </c>
      <c r="F105" s="62">
        <v>2.0</v>
      </c>
      <c r="G105" s="25"/>
      <c r="H105" s="2"/>
      <c r="I105" s="2"/>
      <c r="J105" s="2"/>
      <c r="K105" s="2"/>
      <c r="L105" s="2"/>
      <c r="M105" s="20"/>
      <c r="N105" s="20"/>
      <c r="O105" s="20"/>
      <c r="P105" s="20"/>
      <c r="Q105" s="20"/>
      <c r="R105" s="21"/>
      <c r="S105" s="21"/>
      <c r="T105" s="21"/>
      <c r="U105" s="21"/>
      <c r="V105" s="21"/>
      <c r="W105" s="22"/>
      <c r="X105" s="22"/>
      <c r="Y105" s="22"/>
      <c r="Z105" s="22"/>
      <c r="AA105" s="22"/>
      <c r="AB105" s="23">
        <v>0.0656</v>
      </c>
      <c r="AC105" s="23">
        <v>0.1148</v>
      </c>
      <c r="AD105" s="23">
        <v>0.1148</v>
      </c>
      <c r="AE105" s="23">
        <v>0.1311</v>
      </c>
      <c r="AF105" s="23">
        <v>0.1803</v>
      </c>
      <c r="AG105" s="24">
        <v>0.1066</v>
      </c>
      <c r="AH105" s="24">
        <v>0.123</v>
      </c>
      <c r="AI105" s="24">
        <v>0.1557</v>
      </c>
      <c r="AJ105" s="24">
        <v>0.1885</v>
      </c>
      <c r="AK105" s="24">
        <v>0.2131</v>
      </c>
    </row>
    <row r="106">
      <c r="A106" s="25"/>
      <c r="B106" s="25"/>
      <c r="C106" s="61" t="s">
        <v>77</v>
      </c>
      <c r="D106" s="62">
        <v>2.0</v>
      </c>
      <c r="E106" s="61" t="s">
        <v>85</v>
      </c>
      <c r="F106" s="62">
        <v>2.0</v>
      </c>
      <c r="G106" s="25"/>
      <c r="H106" s="2"/>
      <c r="I106" s="2"/>
      <c r="J106" s="2"/>
      <c r="K106" s="2"/>
      <c r="L106" s="2"/>
      <c r="M106" s="20"/>
      <c r="N106" s="20"/>
      <c r="O106" s="20"/>
      <c r="P106" s="20"/>
      <c r="Q106" s="20"/>
      <c r="R106" s="21"/>
      <c r="S106" s="21"/>
      <c r="T106" s="21"/>
      <c r="U106" s="21"/>
      <c r="V106" s="21"/>
      <c r="W106" s="22"/>
      <c r="X106" s="22"/>
      <c r="Y106" s="22"/>
      <c r="Z106" s="22"/>
      <c r="AA106" s="22"/>
      <c r="AB106" s="23">
        <v>0.0328</v>
      </c>
      <c r="AC106" s="23">
        <v>0.082</v>
      </c>
      <c r="AD106" s="23">
        <v>0.1639</v>
      </c>
      <c r="AE106" s="23">
        <v>0.2623</v>
      </c>
      <c r="AF106" s="23">
        <v>0.2787</v>
      </c>
      <c r="AG106" s="24">
        <v>0.1311</v>
      </c>
      <c r="AH106" s="24">
        <v>0.1967</v>
      </c>
      <c r="AI106" s="24">
        <v>0.2459</v>
      </c>
      <c r="AJ106" s="24">
        <v>0.3033</v>
      </c>
      <c r="AK106" s="24">
        <v>0.3115</v>
      </c>
    </row>
    <row r="107">
      <c r="A107" s="25"/>
      <c r="B107" s="25"/>
      <c r="C107" s="61" t="s">
        <v>86</v>
      </c>
      <c r="D107" s="62">
        <v>2.0</v>
      </c>
      <c r="E107" s="61" t="s">
        <v>84</v>
      </c>
      <c r="F107" s="62">
        <v>2.0</v>
      </c>
      <c r="G107" s="25"/>
      <c r="H107" s="2"/>
      <c r="I107" s="2"/>
      <c r="J107" s="2"/>
      <c r="K107" s="2"/>
      <c r="L107" s="2"/>
      <c r="M107" s="20"/>
      <c r="N107" s="20"/>
      <c r="O107" s="20"/>
      <c r="P107" s="20"/>
      <c r="Q107" s="20"/>
      <c r="R107" s="21"/>
      <c r="S107" s="21"/>
      <c r="T107" s="21"/>
      <c r="U107" s="21"/>
      <c r="V107" s="21"/>
      <c r="W107" s="22"/>
      <c r="X107" s="22"/>
      <c r="Y107" s="22"/>
      <c r="Z107" s="22"/>
      <c r="AA107" s="22"/>
      <c r="AB107" s="23">
        <v>0.1475</v>
      </c>
      <c r="AC107" s="23">
        <v>0.2295</v>
      </c>
      <c r="AD107" s="23">
        <v>0.2787</v>
      </c>
      <c r="AE107" s="23">
        <v>0.2951</v>
      </c>
      <c r="AF107" s="23">
        <v>0.3279</v>
      </c>
      <c r="AG107" s="24">
        <v>0.0574</v>
      </c>
      <c r="AH107" s="24">
        <v>0.1475</v>
      </c>
      <c r="AI107" s="24">
        <v>0.2213</v>
      </c>
      <c r="AJ107" s="24">
        <v>0.2377</v>
      </c>
      <c r="AK107" s="24">
        <v>0.3197</v>
      </c>
    </row>
    <row r="108">
      <c r="A108" s="25"/>
      <c r="B108" s="25"/>
      <c r="C108" s="61" t="s">
        <v>86</v>
      </c>
      <c r="D108" s="62">
        <v>2.0</v>
      </c>
      <c r="E108" s="61" t="s">
        <v>85</v>
      </c>
      <c r="F108" s="62">
        <v>2.0</v>
      </c>
      <c r="G108" s="25"/>
      <c r="H108" s="2"/>
      <c r="I108" s="2"/>
      <c r="J108" s="2"/>
      <c r="K108" s="2"/>
      <c r="L108" s="2"/>
      <c r="M108" s="20"/>
      <c r="N108" s="20"/>
      <c r="O108" s="20"/>
      <c r="P108" s="20"/>
      <c r="Q108" s="20"/>
      <c r="R108" s="21"/>
      <c r="S108" s="21"/>
      <c r="T108" s="21"/>
      <c r="U108" s="21"/>
      <c r="V108" s="21"/>
      <c r="W108" s="22"/>
      <c r="X108" s="22"/>
      <c r="Y108" s="22"/>
      <c r="Z108" s="22"/>
      <c r="AA108" s="22"/>
      <c r="AB108" s="23">
        <v>0.082</v>
      </c>
      <c r="AC108" s="23">
        <v>0.1311</v>
      </c>
      <c r="AD108" s="23">
        <v>0.1639</v>
      </c>
      <c r="AE108" s="23">
        <v>0.1639</v>
      </c>
      <c r="AF108" s="23">
        <v>0.1967</v>
      </c>
      <c r="AG108" s="24">
        <v>0.0492</v>
      </c>
      <c r="AH108" s="24">
        <v>0.1066</v>
      </c>
      <c r="AI108" s="24">
        <v>0.1721</v>
      </c>
      <c r="AJ108" s="24">
        <v>0.2541</v>
      </c>
      <c r="AK108" s="24">
        <v>0.2787</v>
      </c>
    </row>
    <row r="109">
      <c r="A109" s="26"/>
      <c r="B109" s="26"/>
      <c r="C109" s="61" t="s">
        <v>78</v>
      </c>
      <c r="D109" s="62">
        <v>2.0</v>
      </c>
      <c r="E109" s="61" t="s">
        <v>85</v>
      </c>
      <c r="F109" s="62">
        <v>2.0</v>
      </c>
      <c r="G109" s="26"/>
      <c r="H109" s="2"/>
      <c r="I109" s="2"/>
      <c r="J109" s="2"/>
      <c r="K109" s="2"/>
      <c r="L109" s="2"/>
      <c r="M109" s="20"/>
      <c r="N109" s="20"/>
      <c r="O109" s="20"/>
      <c r="P109" s="20"/>
      <c r="Q109" s="20"/>
      <c r="R109" s="21"/>
      <c r="S109" s="21"/>
      <c r="T109" s="21"/>
      <c r="U109" s="21"/>
      <c r="V109" s="21"/>
      <c r="W109" s="22"/>
      <c r="X109" s="22"/>
      <c r="Y109" s="22"/>
      <c r="Z109" s="22"/>
      <c r="AA109" s="22"/>
      <c r="AB109" s="23">
        <v>0.0492</v>
      </c>
      <c r="AC109" s="23">
        <v>0.1311</v>
      </c>
      <c r="AD109" s="23">
        <v>0.1803</v>
      </c>
      <c r="AE109" s="23">
        <v>0.2459</v>
      </c>
      <c r="AF109" s="23">
        <v>0.2951</v>
      </c>
      <c r="AG109" s="24">
        <v>0.0492</v>
      </c>
      <c r="AH109" s="24">
        <v>0.082</v>
      </c>
      <c r="AI109" s="24">
        <v>0.1311</v>
      </c>
      <c r="AJ109" s="24">
        <v>0.1639</v>
      </c>
      <c r="AK109" s="24">
        <v>0.2049</v>
      </c>
    </row>
    <row r="110">
      <c r="A110" s="59" t="s">
        <v>37</v>
      </c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8"/>
      <c r="N110" s="48"/>
      <c r="O110" s="48"/>
      <c r="P110" s="48"/>
      <c r="Q110" s="48"/>
      <c r="R110" s="70"/>
      <c r="S110" s="6"/>
      <c r="T110" s="6"/>
      <c r="U110" s="6"/>
      <c r="V110" s="7"/>
      <c r="W110" s="47"/>
      <c r="X110" s="47"/>
      <c r="Y110" s="47"/>
      <c r="Z110" s="47"/>
      <c r="AA110" s="47"/>
      <c r="AB110" s="49">
        <f t="shared" ref="AB110:AK110" si="13">AVERAGE(AB101:AB109)</f>
        <v>0.06923333333</v>
      </c>
      <c r="AC110" s="49">
        <f t="shared" si="13"/>
        <v>0.1256888889</v>
      </c>
      <c r="AD110" s="49">
        <f t="shared" si="13"/>
        <v>0.1693777778</v>
      </c>
      <c r="AE110" s="49">
        <f t="shared" si="13"/>
        <v>0.2149222222</v>
      </c>
      <c r="AF110" s="49">
        <f t="shared" si="13"/>
        <v>0.2513666667</v>
      </c>
      <c r="AG110" s="49">
        <f t="shared" si="13"/>
        <v>0.08744444444</v>
      </c>
      <c r="AH110" s="49">
        <f t="shared" si="13"/>
        <v>0.1357</v>
      </c>
      <c r="AI110" s="49">
        <f t="shared" si="13"/>
        <v>0.1766555556</v>
      </c>
      <c r="AJ110" s="49">
        <f t="shared" si="13"/>
        <v>0.2185666667</v>
      </c>
      <c r="AK110" s="49">
        <f t="shared" si="13"/>
        <v>0.2586555556</v>
      </c>
    </row>
    <row r="111">
      <c r="A111" s="59" t="s">
        <v>40</v>
      </c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8"/>
      <c r="N111" s="48"/>
      <c r="O111" s="48"/>
      <c r="P111" s="48"/>
      <c r="Q111" s="48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9">
        <f t="shared" ref="AB111:AK111" si="14">STDEV(AB101:AB109)</f>
        <v>0.03550577418</v>
      </c>
      <c r="AC111" s="49">
        <f t="shared" si="14"/>
        <v>0.04487522826</v>
      </c>
      <c r="AD111" s="49">
        <f t="shared" si="14"/>
        <v>0.04779952348</v>
      </c>
      <c r="AE111" s="49">
        <f t="shared" si="14"/>
        <v>0.05404816782</v>
      </c>
      <c r="AF111" s="49">
        <f t="shared" si="14"/>
        <v>0.0492</v>
      </c>
      <c r="AG111" s="49">
        <f t="shared" si="14"/>
        <v>0.03352432367</v>
      </c>
      <c r="AH111" s="49">
        <f t="shared" si="14"/>
        <v>0.03501256917</v>
      </c>
      <c r="AI111" s="49">
        <f t="shared" si="14"/>
        <v>0.0357690897</v>
      </c>
      <c r="AJ111" s="49">
        <f t="shared" si="14"/>
        <v>0.04620465345</v>
      </c>
      <c r="AK111" s="49">
        <f t="shared" si="14"/>
        <v>0.04436933375</v>
      </c>
    </row>
    <row r="112">
      <c r="A112" s="60" t="s">
        <v>109</v>
      </c>
      <c r="B112" s="60" t="s">
        <v>110</v>
      </c>
      <c r="C112" s="61" t="s">
        <v>111</v>
      </c>
      <c r="D112" s="62">
        <v>4.0</v>
      </c>
      <c r="E112" s="61" t="s">
        <v>84</v>
      </c>
      <c r="F112" s="62">
        <v>4.0</v>
      </c>
      <c r="G112" s="19" t="s">
        <v>90</v>
      </c>
      <c r="H112" s="2"/>
      <c r="I112" s="2"/>
      <c r="J112" s="2"/>
      <c r="K112" s="2"/>
      <c r="L112" s="2"/>
      <c r="M112" s="20"/>
      <c r="N112" s="20"/>
      <c r="O112" s="20"/>
      <c r="P112" s="20"/>
      <c r="Q112" s="20"/>
      <c r="R112" s="21"/>
      <c r="S112" s="21"/>
      <c r="T112" s="21"/>
      <c r="U112" s="21"/>
      <c r="V112" s="21"/>
      <c r="W112" s="22"/>
      <c r="X112" s="22"/>
      <c r="Y112" s="22"/>
      <c r="Z112" s="22"/>
      <c r="AA112" s="22"/>
      <c r="AB112" s="23">
        <v>0.0984</v>
      </c>
      <c r="AC112" s="23">
        <v>0.1803</v>
      </c>
      <c r="AD112" s="23">
        <v>0.1967</v>
      </c>
      <c r="AE112" s="23">
        <v>0.2787</v>
      </c>
      <c r="AF112" s="23">
        <v>0.3279</v>
      </c>
      <c r="AG112" s="24">
        <v>0.1967</v>
      </c>
      <c r="AH112" s="24">
        <v>0.2787</v>
      </c>
      <c r="AI112" s="24">
        <v>0.3607</v>
      </c>
      <c r="AJ112" s="24">
        <v>0.4262</v>
      </c>
      <c r="AK112" s="24">
        <v>0.4508</v>
      </c>
    </row>
    <row r="113">
      <c r="A113" s="25"/>
      <c r="B113" s="25"/>
      <c r="C113" s="61" t="s">
        <v>112</v>
      </c>
      <c r="D113" s="62">
        <v>4.0</v>
      </c>
      <c r="E113" s="61" t="s">
        <v>85</v>
      </c>
      <c r="F113" s="62">
        <v>4.0</v>
      </c>
      <c r="G113" s="25"/>
      <c r="H113" s="2"/>
      <c r="I113" s="2"/>
      <c r="J113" s="2"/>
      <c r="K113" s="2"/>
      <c r="L113" s="2"/>
      <c r="M113" s="20"/>
      <c r="N113" s="20"/>
      <c r="O113" s="20"/>
      <c r="P113" s="20"/>
      <c r="Q113" s="20"/>
      <c r="R113" s="21"/>
      <c r="S113" s="21"/>
      <c r="T113" s="21"/>
      <c r="U113" s="21"/>
      <c r="V113" s="21"/>
      <c r="W113" s="22"/>
      <c r="X113" s="22"/>
      <c r="Y113" s="22"/>
      <c r="Z113" s="22"/>
      <c r="AA113" s="22"/>
      <c r="AB113" s="23">
        <v>0.0656</v>
      </c>
      <c r="AC113" s="23">
        <v>0.082</v>
      </c>
      <c r="AD113" s="23">
        <v>0.1148</v>
      </c>
      <c r="AE113" s="23">
        <v>0.2295</v>
      </c>
      <c r="AF113" s="23">
        <v>0.2459</v>
      </c>
      <c r="AG113" s="24">
        <v>0.1967</v>
      </c>
      <c r="AH113" s="24">
        <v>0.2623</v>
      </c>
      <c r="AI113" s="24">
        <v>0.2869</v>
      </c>
      <c r="AJ113" s="24">
        <v>0.3361</v>
      </c>
      <c r="AK113" s="24">
        <v>0.3852</v>
      </c>
    </row>
    <row r="114">
      <c r="A114" s="25"/>
      <c r="B114" s="25"/>
      <c r="C114" s="61" t="s">
        <v>113</v>
      </c>
      <c r="D114" s="62">
        <v>4.0</v>
      </c>
      <c r="E114" s="61" t="s">
        <v>83</v>
      </c>
      <c r="F114" s="62">
        <v>4.0</v>
      </c>
      <c r="G114" s="25"/>
      <c r="H114" s="2"/>
      <c r="I114" s="2"/>
      <c r="J114" s="2"/>
      <c r="K114" s="2"/>
      <c r="L114" s="2"/>
      <c r="M114" s="20"/>
      <c r="N114" s="20"/>
      <c r="O114" s="20"/>
      <c r="P114" s="20"/>
      <c r="Q114" s="20"/>
      <c r="R114" s="21"/>
      <c r="S114" s="21"/>
      <c r="T114" s="21"/>
      <c r="U114" s="21"/>
      <c r="V114" s="21"/>
      <c r="W114" s="22"/>
      <c r="X114" s="22"/>
      <c r="Y114" s="22"/>
      <c r="Z114" s="22"/>
      <c r="AA114" s="22"/>
      <c r="AB114" s="23">
        <v>0.0328</v>
      </c>
      <c r="AC114" s="23">
        <v>0.0656</v>
      </c>
      <c r="AD114" s="23">
        <v>0.1639</v>
      </c>
      <c r="AE114" s="23">
        <v>0.1967</v>
      </c>
      <c r="AF114" s="23">
        <v>0.2295</v>
      </c>
      <c r="AG114" s="24">
        <v>0.1475</v>
      </c>
      <c r="AH114" s="24">
        <v>0.2213</v>
      </c>
      <c r="AI114" s="24">
        <v>0.2869</v>
      </c>
      <c r="AJ114" s="24">
        <v>0.377</v>
      </c>
      <c r="AK114" s="24">
        <v>0.4344</v>
      </c>
    </row>
    <row r="115">
      <c r="A115" s="25"/>
      <c r="B115" s="25"/>
      <c r="C115" s="61" t="s">
        <v>114</v>
      </c>
      <c r="D115" s="62">
        <v>4.0</v>
      </c>
      <c r="E115" s="61" t="s">
        <v>78</v>
      </c>
      <c r="F115" s="62">
        <v>4.0</v>
      </c>
      <c r="G115" s="25"/>
      <c r="H115" s="2"/>
      <c r="I115" s="2"/>
      <c r="J115" s="2"/>
      <c r="K115" s="2"/>
      <c r="L115" s="2"/>
      <c r="M115" s="20"/>
      <c r="N115" s="20"/>
      <c r="O115" s="20"/>
      <c r="P115" s="20"/>
      <c r="Q115" s="20"/>
      <c r="R115" s="21"/>
      <c r="S115" s="21"/>
      <c r="T115" s="21"/>
      <c r="U115" s="21"/>
      <c r="V115" s="21"/>
      <c r="W115" s="22"/>
      <c r="X115" s="22"/>
      <c r="Y115" s="22"/>
      <c r="Z115" s="22"/>
      <c r="AA115" s="22"/>
      <c r="AB115" s="23">
        <v>0.1311</v>
      </c>
      <c r="AC115" s="23">
        <v>0.1803</v>
      </c>
      <c r="AD115" s="23">
        <v>0.2459</v>
      </c>
      <c r="AE115" s="23">
        <v>0.2787</v>
      </c>
      <c r="AF115" s="23">
        <v>0.3115</v>
      </c>
      <c r="AG115" s="24">
        <v>0.1557</v>
      </c>
      <c r="AH115" s="24">
        <v>0.2869</v>
      </c>
      <c r="AI115" s="24">
        <v>0.3607</v>
      </c>
      <c r="AJ115" s="24">
        <v>0.4262</v>
      </c>
      <c r="AK115" s="24">
        <v>0.459</v>
      </c>
    </row>
    <row r="116">
      <c r="A116" s="25"/>
      <c r="B116" s="25"/>
      <c r="C116" s="61" t="s">
        <v>115</v>
      </c>
      <c r="D116" s="62">
        <v>4.0</v>
      </c>
      <c r="E116" s="61" t="s">
        <v>81</v>
      </c>
      <c r="F116" s="62">
        <v>4.0</v>
      </c>
      <c r="G116" s="25"/>
      <c r="H116" s="2"/>
      <c r="I116" s="2"/>
      <c r="J116" s="2"/>
      <c r="K116" s="2"/>
      <c r="L116" s="2"/>
      <c r="M116" s="20"/>
      <c r="N116" s="20"/>
      <c r="O116" s="20"/>
      <c r="P116" s="20"/>
      <c r="Q116" s="20"/>
      <c r="R116" s="21"/>
      <c r="S116" s="21"/>
      <c r="T116" s="21"/>
      <c r="U116" s="21"/>
      <c r="V116" s="21"/>
      <c r="W116" s="22"/>
      <c r="X116" s="22"/>
      <c r="Y116" s="22"/>
      <c r="Z116" s="22"/>
      <c r="AA116" s="22"/>
      <c r="AB116" s="23">
        <v>0.0656</v>
      </c>
      <c r="AC116" s="23">
        <v>0.0984</v>
      </c>
      <c r="AD116" s="23">
        <v>0.1311</v>
      </c>
      <c r="AE116" s="23">
        <v>0.1475</v>
      </c>
      <c r="AF116" s="23">
        <v>0.1803</v>
      </c>
      <c r="AG116" s="24">
        <v>0.1475</v>
      </c>
      <c r="AH116" s="24">
        <v>0.2459</v>
      </c>
      <c r="AI116" s="24">
        <v>0.3115</v>
      </c>
      <c r="AJ116" s="24">
        <v>0.3852</v>
      </c>
      <c r="AK116" s="24">
        <v>0.459</v>
      </c>
    </row>
    <row r="117">
      <c r="A117" s="25"/>
      <c r="B117" s="25"/>
      <c r="C117" s="61" t="s">
        <v>113</v>
      </c>
      <c r="D117" s="62">
        <v>4.0</v>
      </c>
      <c r="E117" s="61" t="s">
        <v>86</v>
      </c>
      <c r="F117" s="62">
        <v>4.0</v>
      </c>
      <c r="G117" s="25"/>
      <c r="H117" s="2"/>
      <c r="I117" s="2"/>
      <c r="J117" s="2"/>
      <c r="K117" s="2"/>
      <c r="L117" s="2"/>
      <c r="M117" s="20"/>
      <c r="N117" s="20"/>
      <c r="O117" s="20"/>
      <c r="P117" s="20"/>
      <c r="Q117" s="20"/>
      <c r="R117" s="21"/>
      <c r="S117" s="21"/>
      <c r="T117" s="21"/>
      <c r="U117" s="21"/>
      <c r="V117" s="21"/>
      <c r="W117" s="22"/>
      <c r="X117" s="22"/>
      <c r="Y117" s="22"/>
      <c r="Z117" s="22"/>
      <c r="AA117" s="22"/>
      <c r="AB117" s="23">
        <v>0.0492</v>
      </c>
      <c r="AC117" s="23">
        <v>0.0656</v>
      </c>
      <c r="AD117" s="23">
        <v>0.0984</v>
      </c>
      <c r="AE117" s="23">
        <v>0.1475</v>
      </c>
      <c r="AF117" s="23">
        <v>0.1803</v>
      </c>
      <c r="AG117" s="24">
        <v>0.1475</v>
      </c>
      <c r="AH117" s="24">
        <v>0.2541</v>
      </c>
      <c r="AI117" s="24">
        <v>0.3033</v>
      </c>
      <c r="AJ117" s="24">
        <v>0.377</v>
      </c>
      <c r="AK117" s="24">
        <v>0.4262</v>
      </c>
    </row>
    <row r="118">
      <c r="A118" s="25"/>
      <c r="B118" s="25"/>
      <c r="C118" s="61" t="s">
        <v>116</v>
      </c>
      <c r="D118" s="62">
        <v>4.0</v>
      </c>
      <c r="E118" s="61" t="s">
        <v>77</v>
      </c>
      <c r="F118" s="62">
        <v>4.0</v>
      </c>
      <c r="G118" s="25"/>
      <c r="H118" s="2"/>
      <c r="I118" s="2"/>
      <c r="J118" s="2"/>
      <c r="K118" s="2"/>
      <c r="L118" s="2"/>
      <c r="M118" s="20"/>
      <c r="N118" s="20"/>
      <c r="O118" s="20"/>
      <c r="P118" s="20"/>
      <c r="Q118" s="20"/>
      <c r="R118" s="21"/>
      <c r="S118" s="21"/>
      <c r="T118" s="21"/>
      <c r="U118" s="21"/>
      <c r="V118" s="21"/>
      <c r="W118" s="22"/>
      <c r="X118" s="22"/>
      <c r="Y118" s="22"/>
      <c r="Z118" s="22"/>
      <c r="AA118" s="22"/>
      <c r="AB118" s="23">
        <v>0.1475</v>
      </c>
      <c r="AC118" s="23">
        <v>0.2459</v>
      </c>
      <c r="AD118" s="23">
        <v>0.2951</v>
      </c>
      <c r="AE118" s="23">
        <v>0.3279</v>
      </c>
      <c r="AF118" s="23">
        <v>0.3443</v>
      </c>
      <c r="AG118" s="24">
        <v>0.2295</v>
      </c>
      <c r="AH118" s="24">
        <v>0.3279</v>
      </c>
      <c r="AI118" s="24">
        <v>0.4098</v>
      </c>
      <c r="AJ118" s="24">
        <v>0.4508</v>
      </c>
      <c r="AK118" s="24">
        <v>0.5082</v>
      </c>
    </row>
    <row r="119">
      <c r="A119" s="25"/>
      <c r="B119" s="25"/>
      <c r="C119" s="61" t="s">
        <v>117</v>
      </c>
      <c r="D119" s="62">
        <v>4.0</v>
      </c>
      <c r="E119" s="61" t="s">
        <v>80</v>
      </c>
      <c r="F119" s="62">
        <v>4.0</v>
      </c>
      <c r="G119" s="25"/>
      <c r="H119" s="2"/>
      <c r="I119" s="2"/>
      <c r="J119" s="2"/>
      <c r="K119" s="2"/>
      <c r="L119" s="2"/>
      <c r="M119" s="20"/>
      <c r="N119" s="20"/>
      <c r="O119" s="20"/>
      <c r="P119" s="20"/>
      <c r="Q119" s="20"/>
      <c r="R119" s="21"/>
      <c r="S119" s="21"/>
      <c r="T119" s="21"/>
      <c r="U119" s="21"/>
      <c r="V119" s="21"/>
      <c r="W119" s="22"/>
      <c r="X119" s="22"/>
      <c r="Y119" s="22"/>
      <c r="Z119" s="22"/>
      <c r="AA119" s="22"/>
      <c r="AB119" s="23">
        <v>0.0984</v>
      </c>
      <c r="AC119" s="23">
        <v>0.2295</v>
      </c>
      <c r="AD119" s="23">
        <v>0.2295</v>
      </c>
      <c r="AE119" s="23">
        <v>0.2295</v>
      </c>
      <c r="AF119" s="23">
        <v>0.2623</v>
      </c>
      <c r="AG119" s="24">
        <v>0.1475</v>
      </c>
      <c r="AH119" s="24">
        <v>0.2869</v>
      </c>
      <c r="AI119" s="24">
        <v>0.377</v>
      </c>
      <c r="AJ119" s="24">
        <v>0.4262</v>
      </c>
      <c r="AK119" s="24">
        <v>0.4836</v>
      </c>
    </row>
    <row r="120">
      <c r="A120" s="26"/>
      <c r="B120" s="26"/>
      <c r="C120" s="71" t="s">
        <v>118</v>
      </c>
      <c r="D120" s="62">
        <v>4.0</v>
      </c>
      <c r="E120" s="71" t="s">
        <v>82</v>
      </c>
      <c r="F120" s="62">
        <v>4.0</v>
      </c>
      <c r="G120" s="26"/>
      <c r="H120" s="27"/>
      <c r="I120" s="27"/>
      <c r="J120" s="27"/>
      <c r="K120" s="27"/>
      <c r="L120" s="27"/>
      <c r="M120" s="28"/>
      <c r="N120" s="28"/>
      <c r="O120" s="28"/>
      <c r="P120" s="28"/>
      <c r="Q120" s="28"/>
      <c r="R120" s="29"/>
      <c r="S120" s="29"/>
      <c r="T120" s="29"/>
      <c r="U120" s="29"/>
      <c r="V120" s="29"/>
      <c r="W120" s="30"/>
      <c r="X120" s="30"/>
      <c r="Y120" s="30"/>
      <c r="Z120" s="30"/>
      <c r="AA120" s="30"/>
      <c r="AB120" s="31">
        <v>0.0492</v>
      </c>
      <c r="AC120" s="31">
        <v>0.082</v>
      </c>
      <c r="AD120" s="31">
        <v>0.1148</v>
      </c>
      <c r="AE120" s="31">
        <v>0.1803</v>
      </c>
      <c r="AF120" s="31">
        <v>0.1967</v>
      </c>
      <c r="AG120" s="32">
        <v>0.0902</v>
      </c>
      <c r="AH120" s="32">
        <v>0.1557</v>
      </c>
      <c r="AI120" s="32">
        <v>0.2705</v>
      </c>
      <c r="AJ120" s="32">
        <v>0.3279</v>
      </c>
      <c r="AK120" s="32">
        <v>0.377</v>
      </c>
    </row>
    <row r="121">
      <c r="A121" s="59" t="s">
        <v>37</v>
      </c>
      <c r="B121" s="48"/>
      <c r="C121" s="48"/>
      <c r="D121" s="48"/>
      <c r="E121" s="48"/>
      <c r="F121" s="47"/>
      <c r="G121" s="47"/>
      <c r="H121" s="47"/>
      <c r="I121" s="47"/>
      <c r="J121" s="47"/>
      <c r="K121" s="47"/>
      <c r="L121" s="47"/>
      <c r="M121" s="48"/>
      <c r="N121" s="48"/>
      <c r="O121" s="48"/>
      <c r="P121" s="48"/>
      <c r="Q121" s="48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9">
        <f t="shared" ref="AB121:AK121" si="15">AVERAGE(AB112:AB120)</f>
        <v>0.08197777778</v>
      </c>
      <c r="AC121" s="49">
        <f t="shared" si="15"/>
        <v>0.1366222222</v>
      </c>
      <c r="AD121" s="49">
        <f t="shared" si="15"/>
        <v>0.1766888889</v>
      </c>
      <c r="AE121" s="49">
        <f t="shared" si="15"/>
        <v>0.2240333333</v>
      </c>
      <c r="AF121" s="49">
        <f t="shared" si="15"/>
        <v>0.2531888889</v>
      </c>
      <c r="AG121" s="49">
        <f t="shared" si="15"/>
        <v>0.1620888889</v>
      </c>
      <c r="AH121" s="49">
        <f t="shared" si="15"/>
        <v>0.2577444444</v>
      </c>
      <c r="AI121" s="49">
        <f t="shared" si="15"/>
        <v>0.3297</v>
      </c>
      <c r="AJ121" s="49">
        <f t="shared" si="15"/>
        <v>0.3925111111</v>
      </c>
      <c r="AK121" s="49">
        <f t="shared" si="15"/>
        <v>0.4426</v>
      </c>
    </row>
    <row r="122">
      <c r="A122" s="72" t="s">
        <v>40</v>
      </c>
      <c r="B122" s="73"/>
      <c r="C122" s="73"/>
      <c r="D122" s="73"/>
      <c r="E122" s="73"/>
      <c r="F122" s="74"/>
      <c r="G122" s="74"/>
      <c r="H122" s="74"/>
      <c r="I122" s="74"/>
      <c r="J122" s="74"/>
      <c r="K122" s="74"/>
      <c r="L122" s="74"/>
      <c r="M122" s="73"/>
      <c r="N122" s="73"/>
      <c r="O122" s="73"/>
      <c r="P122" s="73"/>
      <c r="Q122" s="73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5">
        <f t="shared" ref="AB122:AK122" si="16">STDEV(AB112:AB120)</f>
        <v>0.03928933627</v>
      </c>
      <c r="AC122" s="75">
        <f t="shared" si="16"/>
        <v>0.07237043211</v>
      </c>
      <c r="AD122" s="75">
        <f t="shared" si="16"/>
        <v>0.06894957296</v>
      </c>
      <c r="AE122" s="75">
        <f t="shared" si="16"/>
        <v>0.06244933947</v>
      </c>
      <c r="AF122" s="75">
        <f t="shared" si="16"/>
        <v>0.06304467552</v>
      </c>
      <c r="AG122" s="75">
        <f t="shared" si="16"/>
        <v>0.04031173664</v>
      </c>
      <c r="AH122" s="75">
        <f t="shared" si="16"/>
        <v>0.04870398113</v>
      </c>
      <c r="AI122" s="75">
        <f t="shared" si="16"/>
        <v>0.04844045314</v>
      </c>
      <c r="AJ122" s="75">
        <f t="shared" si="16"/>
        <v>0.04285713022</v>
      </c>
      <c r="AK122" s="75">
        <f t="shared" si="16"/>
        <v>0.04260844987</v>
      </c>
    </row>
    <row r="123">
      <c r="A123" s="76" t="s">
        <v>119</v>
      </c>
      <c r="F123" s="77"/>
      <c r="G123" s="77"/>
      <c r="H123" s="77"/>
      <c r="I123" s="77"/>
      <c r="J123" s="77"/>
      <c r="K123" s="77"/>
      <c r="L123" s="77"/>
      <c r="M123" s="78"/>
      <c r="N123" s="78"/>
      <c r="O123" s="78"/>
      <c r="P123" s="78"/>
      <c r="Q123" s="78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</row>
    <row r="124">
      <c r="A124" s="76" t="s">
        <v>120</v>
      </c>
      <c r="F124" s="77"/>
      <c r="G124" s="77"/>
      <c r="H124" s="77"/>
      <c r="I124" s="77"/>
      <c r="J124" s="77"/>
      <c r="K124" s="77"/>
      <c r="L124" s="77"/>
      <c r="M124" s="78"/>
      <c r="N124" s="78"/>
      <c r="O124" s="78"/>
      <c r="P124" s="78"/>
      <c r="Q124" s="78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</row>
    <row r="125">
      <c r="A125" s="76" t="s">
        <v>121</v>
      </c>
      <c r="F125" s="77"/>
      <c r="G125" s="77"/>
      <c r="H125" s="77"/>
      <c r="I125" s="77"/>
      <c r="J125" s="77"/>
      <c r="K125" s="77"/>
      <c r="L125" s="77"/>
      <c r="M125" s="78"/>
      <c r="N125" s="78"/>
      <c r="O125" s="78"/>
      <c r="P125" s="78"/>
      <c r="Q125" s="78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</row>
    <row r="126">
      <c r="A126" s="76" t="s">
        <v>122</v>
      </c>
      <c r="F126" s="77"/>
      <c r="G126" s="77"/>
      <c r="H126" s="77"/>
      <c r="I126" s="77"/>
      <c r="J126" s="77"/>
      <c r="K126" s="77"/>
      <c r="L126" s="77"/>
      <c r="M126" s="78"/>
      <c r="N126" s="78"/>
      <c r="O126" s="78"/>
      <c r="P126" s="78"/>
      <c r="Q126" s="78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</row>
    <row r="127">
      <c r="A127" s="76" t="s">
        <v>123</v>
      </c>
      <c r="F127" s="77"/>
      <c r="G127" s="77"/>
      <c r="H127" s="77"/>
      <c r="I127" s="77"/>
      <c r="J127" s="77"/>
      <c r="K127" s="77"/>
      <c r="L127" s="77"/>
      <c r="M127" s="78"/>
      <c r="N127" s="78"/>
      <c r="O127" s="78"/>
      <c r="P127" s="78"/>
      <c r="Q127" s="78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</row>
    <row r="128">
      <c r="A128" s="76" t="s">
        <v>124</v>
      </c>
      <c r="F128" s="77"/>
      <c r="G128" s="77"/>
      <c r="H128" s="77"/>
      <c r="I128" s="77"/>
      <c r="J128" s="77"/>
      <c r="K128" s="77"/>
      <c r="L128" s="77"/>
      <c r="M128" s="78"/>
      <c r="N128" s="78"/>
      <c r="O128" s="78"/>
      <c r="P128" s="78"/>
      <c r="Q128" s="78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8"/>
      <c r="N129" s="78"/>
      <c r="O129" s="78"/>
      <c r="P129" s="78"/>
      <c r="Q129" s="78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8"/>
      <c r="N130" s="78"/>
      <c r="O130" s="78"/>
      <c r="P130" s="78"/>
      <c r="Q130" s="78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8"/>
      <c r="N131" s="78"/>
      <c r="O131" s="78"/>
      <c r="P131" s="78"/>
      <c r="Q131" s="78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8"/>
      <c r="N132" s="78"/>
      <c r="O132" s="78"/>
      <c r="P132" s="78"/>
      <c r="Q132" s="78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8"/>
      <c r="N133" s="78"/>
      <c r="O133" s="78"/>
      <c r="P133" s="78"/>
      <c r="Q133" s="78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8"/>
      <c r="N134" s="78"/>
      <c r="O134" s="78"/>
      <c r="P134" s="78"/>
      <c r="Q134" s="78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8"/>
      <c r="N135" s="78"/>
      <c r="O135" s="78"/>
      <c r="P135" s="78"/>
      <c r="Q135" s="78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8"/>
      <c r="N136" s="78"/>
      <c r="O136" s="78"/>
      <c r="P136" s="78"/>
      <c r="Q136" s="78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8"/>
      <c r="N137" s="78"/>
      <c r="O137" s="78"/>
      <c r="P137" s="78"/>
      <c r="Q137" s="78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8"/>
      <c r="N138" s="78"/>
      <c r="O138" s="78"/>
      <c r="P138" s="78"/>
      <c r="Q138" s="78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8"/>
      <c r="N139" s="78"/>
      <c r="O139" s="78"/>
      <c r="P139" s="78"/>
      <c r="Q139" s="78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8"/>
      <c r="N140" s="78"/>
      <c r="O140" s="78"/>
      <c r="P140" s="78"/>
      <c r="Q140" s="78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8"/>
      <c r="N141" s="78"/>
      <c r="O141" s="78"/>
      <c r="P141" s="78"/>
      <c r="Q141" s="78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8"/>
      <c r="N142" s="78"/>
      <c r="O142" s="78"/>
      <c r="P142" s="78"/>
      <c r="Q142" s="78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8"/>
      <c r="N143" s="78"/>
      <c r="O143" s="78"/>
      <c r="P143" s="78"/>
      <c r="Q143" s="78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8"/>
      <c r="N144" s="78"/>
      <c r="O144" s="78"/>
      <c r="P144" s="78"/>
      <c r="Q144" s="78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8"/>
      <c r="N145" s="78"/>
      <c r="O145" s="78"/>
      <c r="P145" s="78"/>
      <c r="Q145" s="78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8"/>
      <c r="N146" s="78"/>
      <c r="O146" s="78"/>
      <c r="P146" s="78"/>
      <c r="Q146" s="78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8"/>
      <c r="N147" s="78"/>
      <c r="O147" s="78"/>
      <c r="P147" s="78"/>
      <c r="Q147" s="78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8"/>
      <c r="N148" s="78"/>
      <c r="O148" s="78"/>
      <c r="P148" s="78"/>
      <c r="Q148" s="78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8"/>
      <c r="N149" s="78"/>
      <c r="O149" s="78"/>
      <c r="P149" s="78"/>
      <c r="Q149" s="78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8"/>
      <c r="N150" s="78"/>
      <c r="O150" s="78"/>
      <c r="P150" s="78"/>
      <c r="Q150" s="78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8"/>
      <c r="N151" s="78"/>
      <c r="O151" s="78"/>
      <c r="P151" s="78"/>
      <c r="Q151" s="78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8"/>
      <c r="N152" s="78"/>
      <c r="O152" s="78"/>
      <c r="P152" s="78"/>
      <c r="Q152" s="78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8"/>
      <c r="N153" s="78"/>
      <c r="O153" s="78"/>
      <c r="P153" s="78"/>
      <c r="Q153" s="78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8"/>
      <c r="N154" s="78"/>
      <c r="O154" s="78"/>
      <c r="P154" s="78"/>
      <c r="Q154" s="78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8"/>
      <c r="N155" s="78"/>
      <c r="O155" s="78"/>
      <c r="P155" s="78"/>
      <c r="Q155" s="78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8"/>
      <c r="N156" s="78"/>
      <c r="O156" s="78"/>
      <c r="P156" s="78"/>
      <c r="Q156" s="78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8"/>
      <c r="N157" s="78"/>
      <c r="O157" s="78"/>
      <c r="P157" s="78"/>
      <c r="Q157" s="78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8"/>
      <c r="N158" s="78"/>
      <c r="O158" s="78"/>
      <c r="P158" s="78"/>
      <c r="Q158" s="78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8"/>
      <c r="N159" s="78"/>
      <c r="O159" s="78"/>
      <c r="P159" s="78"/>
      <c r="Q159" s="78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8"/>
      <c r="N160" s="78"/>
      <c r="O160" s="78"/>
      <c r="P160" s="78"/>
      <c r="Q160" s="78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8"/>
      <c r="N161" s="78"/>
      <c r="O161" s="78"/>
      <c r="P161" s="78"/>
      <c r="Q161" s="78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8"/>
      <c r="N162" s="78"/>
      <c r="O162" s="78"/>
      <c r="P162" s="78"/>
      <c r="Q162" s="78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8"/>
      <c r="N163" s="78"/>
      <c r="O163" s="78"/>
      <c r="P163" s="78"/>
      <c r="Q163" s="78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8"/>
      <c r="N164" s="78"/>
      <c r="O164" s="78"/>
      <c r="P164" s="78"/>
      <c r="Q164" s="78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8"/>
      <c r="N165" s="78"/>
      <c r="O165" s="78"/>
      <c r="P165" s="78"/>
      <c r="Q165" s="78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8"/>
      <c r="N166" s="78"/>
      <c r="O166" s="78"/>
      <c r="P166" s="78"/>
      <c r="Q166" s="78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8"/>
      <c r="N167" s="78"/>
      <c r="O167" s="78"/>
      <c r="P167" s="78"/>
      <c r="Q167" s="78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8"/>
      <c r="N168" s="78"/>
      <c r="O168" s="78"/>
      <c r="P168" s="78"/>
      <c r="Q168" s="78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8"/>
      <c r="N169" s="78"/>
      <c r="O169" s="78"/>
      <c r="P169" s="78"/>
      <c r="Q169" s="78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8"/>
      <c r="N170" s="78"/>
      <c r="O170" s="78"/>
      <c r="P170" s="78"/>
      <c r="Q170" s="78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8"/>
      <c r="N171" s="78"/>
      <c r="O171" s="78"/>
      <c r="P171" s="78"/>
      <c r="Q171" s="78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8"/>
      <c r="N172" s="78"/>
      <c r="O172" s="78"/>
      <c r="P172" s="78"/>
      <c r="Q172" s="78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8"/>
      <c r="N173" s="78"/>
      <c r="O173" s="78"/>
      <c r="P173" s="78"/>
      <c r="Q173" s="78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8"/>
      <c r="N174" s="78"/>
      <c r="O174" s="78"/>
      <c r="P174" s="78"/>
      <c r="Q174" s="78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8"/>
      <c r="N175" s="78"/>
      <c r="O175" s="78"/>
      <c r="P175" s="78"/>
      <c r="Q175" s="78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8"/>
      <c r="N176" s="78"/>
      <c r="O176" s="78"/>
      <c r="P176" s="78"/>
      <c r="Q176" s="78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8"/>
      <c r="N177" s="78"/>
      <c r="O177" s="78"/>
      <c r="P177" s="78"/>
      <c r="Q177" s="78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8"/>
      <c r="N178" s="78"/>
      <c r="O178" s="78"/>
      <c r="P178" s="78"/>
      <c r="Q178" s="78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8"/>
      <c r="N179" s="78"/>
      <c r="O179" s="78"/>
      <c r="P179" s="78"/>
      <c r="Q179" s="78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8"/>
      <c r="N180" s="78"/>
      <c r="O180" s="78"/>
      <c r="P180" s="78"/>
      <c r="Q180" s="78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8"/>
      <c r="N181" s="78"/>
      <c r="O181" s="78"/>
      <c r="P181" s="78"/>
      <c r="Q181" s="78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8"/>
      <c r="N182" s="78"/>
      <c r="O182" s="78"/>
      <c r="P182" s="78"/>
      <c r="Q182" s="78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8"/>
      <c r="N183" s="78"/>
      <c r="O183" s="78"/>
      <c r="P183" s="78"/>
      <c r="Q183" s="78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8"/>
      <c r="N184" s="78"/>
      <c r="O184" s="78"/>
      <c r="P184" s="78"/>
      <c r="Q184" s="78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8"/>
      <c r="N185" s="78"/>
      <c r="O185" s="78"/>
      <c r="P185" s="78"/>
      <c r="Q185" s="78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8"/>
      <c r="N186" s="78"/>
      <c r="O186" s="78"/>
      <c r="P186" s="78"/>
      <c r="Q186" s="78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8"/>
      <c r="N187" s="78"/>
      <c r="O187" s="78"/>
      <c r="P187" s="78"/>
      <c r="Q187" s="78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8"/>
      <c r="N188" s="78"/>
      <c r="O188" s="78"/>
      <c r="P188" s="78"/>
      <c r="Q188" s="78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8"/>
      <c r="N189" s="78"/>
      <c r="O189" s="78"/>
      <c r="P189" s="78"/>
      <c r="Q189" s="78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8"/>
      <c r="N190" s="78"/>
      <c r="O190" s="78"/>
      <c r="P190" s="78"/>
      <c r="Q190" s="78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8"/>
      <c r="N191" s="78"/>
      <c r="O191" s="78"/>
      <c r="P191" s="78"/>
      <c r="Q191" s="78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8"/>
      <c r="N192" s="78"/>
      <c r="O192" s="78"/>
      <c r="P192" s="78"/>
      <c r="Q192" s="78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8"/>
      <c r="N193" s="78"/>
      <c r="O193" s="78"/>
      <c r="P193" s="78"/>
      <c r="Q193" s="78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8"/>
      <c r="N194" s="78"/>
      <c r="O194" s="78"/>
      <c r="P194" s="78"/>
      <c r="Q194" s="78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8"/>
      <c r="N195" s="78"/>
      <c r="O195" s="78"/>
      <c r="P195" s="78"/>
      <c r="Q195" s="78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8"/>
      <c r="N196" s="78"/>
      <c r="O196" s="78"/>
      <c r="P196" s="78"/>
      <c r="Q196" s="78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8"/>
      <c r="N197" s="78"/>
      <c r="O197" s="78"/>
      <c r="P197" s="78"/>
      <c r="Q197" s="78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8"/>
      <c r="N198" s="78"/>
      <c r="O198" s="78"/>
      <c r="P198" s="78"/>
      <c r="Q198" s="78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8"/>
      <c r="N199" s="78"/>
      <c r="O199" s="78"/>
      <c r="P199" s="78"/>
      <c r="Q199" s="78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8"/>
      <c r="N200" s="78"/>
      <c r="O200" s="78"/>
      <c r="P200" s="78"/>
      <c r="Q200" s="78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8"/>
      <c r="N201" s="78"/>
      <c r="O201" s="78"/>
      <c r="P201" s="78"/>
      <c r="Q201" s="78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8"/>
      <c r="N202" s="78"/>
      <c r="O202" s="78"/>
      <c r="P202" s="78"/>
      <c r="Q202" s="78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8"/>
      <c r="N203" s="78"/>
      <c r="O203" s="78"/>
      <c r="P203" s="78"/>
      <c r="Q203" s="78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8"/>
      <c r="N204" s="78"/>
      <c r="O204" s="78"/>
      <c r="P204" s="78"/>
      <c r="Q204" s="78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8"/>
      <c r="N205" s="78"/>
      <c r="O205" s="78"/>
      <c r="P205" s="78"/>
      <c r="Q205" s="78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8"/>
      <c r="N206" s="78"/>
      <c r="O206" s="78"/>
      <c r="P206" s="78"/>
      <c r="Q206" s="78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8"/>
      <c r="N207" s="78"/>
      <c r="O207" s="78"/>
      <c r="P207" s="78"/>
      <c r="Q207" s="78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8"/>
      <c r="N208" s="78"/>
      <c r="O208" s="78"/>
      <c r="P208" s="78"/>
      <c r="Q208" s="78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8"/>
      <c r="N209" s="78"/>
      <c r="O209" s="78"/>
      <c r="P209" s="78"/>
      <c r="Q209" s="78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8"/>
      <c r="N210" s="78"/>
      <c r="O210" s="78"/>
      <c r="P210" s="78"/>
      <c r="Q210" s="78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8"/>
      <c r="N211" s="78"/>
      <c r="O211" s="78"/>
      <c r="P211" s="78"/>
      <c r="Q211" s="78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8"/>
      <c r="N212" s="78"/>
      <c r="O212" s="78"/>
      <c r="P212" s="78"/>
      <c r="Q212" s="78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8"/>
      <c r="N213" s="78"/>
      <c r="O213" s="78"/>
      <c r="P213" s="78"/>
      <c r="Q213" s="78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8"/>
      <c r="N214" s="78"/>
      <c r="O214" s="78"/>
      <c r="P214" s="78"/>
      <c r="Q214" s="78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8"/>
      <c r="N215" s="78"/>
      <c r="O215" s="78"/>
      <c r="P215" s="78"/>
      <c r="Q215" s="78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8"/>
      <c r="N216" s="78"/>
      <c r="O216" s="78"/>
      <c r="P216" s="78"/>
      <c r="Q216" s="78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8"/>
      <c r="N217" s="78"/>
      <c r="O217" s="78"/>
      <c r="P217" s="78"/>
      <c r="Q217" s="78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8"/>
      <c r="N218" s="78"/>
      <c r="O218" s="78"/>
      <c r="P218" s="78"/>
      <c r="Q218" s="78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8"/>
      <c r="N219" s="78"/>
      <c r="O219" s="78"/>
      <c r="P219" s="78"/>
      <c r="Q219" s="78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8"/>
      <c r="N220" s="78"/>
      <c r="O220" s="78"/>
      <c r="P220" s="78"/>
      <c r="Q220" s="78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8"/>
      <c r="N221" s="78"/>
      <c r="O221" s="78"/>
      <c r="P221" s="78"/>
      <c r="Q221" s="78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8"/>
      <c r="N222" s="78"/>
      <c r="O222" s="78"/>
      <c r="P222" s="78"/>
      <c r="Q222" s="78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8"/>
      <c r="N223" s="78"/>
      <c r="O223" s="78"/>
      <c r="P223" s="78"/>
      <c r="Q223" s="78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8"/>
      <c r="N224" s="78"/>
      <c r="O224" s="78"/>
      <c r="P224" s="78"/>
      <c r="Q224" s="78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8"/>
      <c r="N225" s="78"/>
      <c r="O225" s="78"/>
      <c r="P225" s="78"/>
      <c r="Q225" s="78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8"/>
      <c r="N226" s="78"/>
      <c r="O226" s="78"/>
      <c r="P226" s="78"/>
      <c r="Q226" s="78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8"/>
      <c r="N227" s="78"/>
      <c r="O227" s="78"/>
      <c r="P227" s="78"/>
      <c r="Q227" s="78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8"/>
      <c r="N228" s="78"/>
      <c r="O228" s="78"/>
      <c r="P228" s="78"/>
      <c r="Q228" s="78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8"/>
      <c r="N229" s="78"/>
      <c r="O229" s="78"/>
      <c r="P229" s="78"/>
      <c r="Q229" s="78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8"/>
      <c r="N230" s="78"/>
      <c r="O230" s="78"/>
      <c r="P230" s="78"/>
      <c r="Q230" s="78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8"/>
      <c r="N231" s="78"/>
      <c r="O231" s="78"/>
      <c r="P231" s="78"/>
      <c r="Q231" s="78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8"/>
      <c r="N232" s="78"/>
      <c r="O232" s="78"/>
      <c r="P232" s="78"/>
      <c r="Q232" s="78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8"/>
      <c r="N233" s="78"/>
      <c r="O233" s="78"/>
      <c r="P233" s="78"/>
      <c r="Q233" s="78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8"/>
      <c r="N234" s="78"/>
      <c r="O234" s="78"/>
      <c r="P234" s="78"/>
      <c r="Q234" s="78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8"/>
      <c r="N235" s="78"/>
      <c r="O235" s="78"/>
      <c r="P235" s="78"/>
      <c r="Q235" s="78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8"/>
      <c r="N236" s="78"/>
      <c r="O236" s="78"/>
      <c r="P236" s="78"/>
      <c r="Q236" s="78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8"/>
      <c r="N237" s="78"/>
      <c r="O237" s="78"/>
      <c r="P237" s="78"/>
      <c r="Q237" s="78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8"/>
      <c r="N238" s="78"/>
      <c r="O238" s="78"/>
      <c r="P238" s="78"/>
      <c r="Q238" s="78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8"/>
      <c r="N239" s="78"/>
      <c r="O239" s="78"/>
      <c r="P239" s="78"/>
      <c r="Q239" s="78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8"/>
      <c r="N240" s="78"/>
      <c r="O240" s="78"/>
      <c r="P240" s="78"/>
      <c r="Q240" s="78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8"/>
      <c r="N241" s="78"/>
      <c r="O241" s="78"/>
      <c r="P241" s="78"/>
      <c r="Q241" s="78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8"/>
      <c r="N242" s="78"/>
      <c r="O242" s="78"/>
      <c r="P242" s="78"/>
      <c r="Q242" s="78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8"/>
      <c r="N243" s="78"/>
      <c r="O243" s="78"/>
      <c r="P243" s="78"/>
      <c r="Q243" s="78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8"/>
      <c r="N244" s="78"/>
      <c r="O244" s="78"/>
      <c r="P244" s="78"/>
      <c r="Q244" s="78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8"/>
      <c r="N245" s="78"/>
      <c r="O245" s="78"/>
      <c r="P245" s="78"/>
      <c r="Q245" s="78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8"/>
      <c r="N246" s="78"/>
      <c r="O246" s="78"/>
      <c r="P246" s="78"/>
      <c r="Q246" s="78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8"/>
      <c r="N247" s="78"/>
      <c r="O247" s="78"/>
      <c r="P247" s="78"/>
      <c r="Q247" s="78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8"/>
      <c r="N248" s="78"/>
      <c r="O248" s="78"/>
      <c r="P248" s="78"/>
      <c r="Q248" s="78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8"/>
      <c r="N249" s="78"/>
      <c r="O249" s="78"/>
      <c r="P249" s="78"/>
      <c r="Q249" s="78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8"/>
      <c r="N250" s="78"/>
      <c r="O250" s="78"/>
      <c r="P250" s="78"/>
      <c r="Q250" s="78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8"/>
      <c r="N251" s="78"/>
      <c r="O251" s="78"/>
      <c r="P251" s="78"/>
      <c r="Q251" s="78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8"/>
      <c r="N252" s="78"/>
      <c r="O252" s="78"/>
      <c r="P252" s="78"/>
      <c r="Q252" s="78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8"/>
      <c r="N253" s="78"/>
      <c r="O253" s="78"/>
      <c r="P253" s="78"/>
      <c r="Q253" s="78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8"/>
      <c r="N254" s="78"/>
      <c r="O254" s="78"/>
      <c r="P254" s="78"/>
      <c r="Q254" s="78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8"/>
      <c r="N255" s="78"/>
      <c r="O255" s="78"/>
      <c r="P255" s="78"/>
      <c r="Q255" s="78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8"/>
      <c r="N256" s="78"/>
      <c r="O256" s="78"/>
      <c r="P256" s="78"/>
      <c r="Q256" s="78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8"/>
      <c r="N257" s="78"/>
      <c r="O257" s="78"/>
      <c r="P257" s="78"/>
      <c r="Q257" s="78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8"/>
      <c r="N258" s="78"/>
      <c r="O258" s="78"/>
      <c r="P258" s="78"/>
      <c r="Q258" s="78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8"/>
      <c r="N259" s="78"/>
      <c r="O259" s="78"/>
      <c r="P259" s="78"/>
      <c r="Q259" s="78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8"/>
      <c r="N260" s="78"/>
      <c r="O260" s="78"/>
      <c r="P260" s="78"/>
      <c r="Q260" s="78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8"/>
      <c r="N261" s="78"/>
      <c r="O261" s="78"/>
      <c r="P261" s="78"/>
      <c r="Q261" s="78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8"/>
      <c r="N262" s="78"/>
      <c r="O262" s="78"/>
      <c r="P262" s="78"/>
      <c r="Q262" s="78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8"/>
      <c r="N263" s="78"/>
      <c r="O263" s="78"/>
      <c r="P263" s="78"/>
      <c r="Q263" s="78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8"/>
      <c r="N264" s="78"/>
      <c r="O264" s="78"/>
      <c r="P264" s="78"/>
      <c r="Q264" s="78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8"/>
      <c r="N265" s="78"/>
      <c r="O265" s="78"/>
      <c r="P265" s="78"/>
      <c r="Q265" s="78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8"/>
      <c r="N266" s="78"/>
      <c r="O266" s="78"/>
      <c r="P266" s="78"/>
      <c r="Q266" s="78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8"/>
      <c r="N267" s="78"/>
      <c r="O267" s="78"/>
      <c r="P267" s="78"/>
      <c r="Q267" s="78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8"/>
      <c r="N268" s="78"/>
      <c r="O268" s="78"/>
      <c r="P268" s="78"/>
      <c r="Q268" s="78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8"/>
      <c r="N269" s="78"/>
      <c r="O269" s="78"/>
      <c r="P269" s="78"/>
      <c r="Q269" s="78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8"/>
      <c r="N270" s="78"/>
      <c r="O270" s="78"/>
      <c r="P270" s="78"/>
      <c r="Q270" s="78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8"/>
      <c r="N271" s="78"/>
      <c r="O271" s="78"/>
      <c r="P271" s="78"/>
      <c r="Q271" s="78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8"/>
      <c r="N272" s="78"/>
      <c r="O272" s="78"/>
      <c r="P272" s="78"/>
      <c r="Q272" s="78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8"/>
      <c r="N273" s="78"/>
      <c r="O273" s="78"/>
      <c r="P273" s="78"/>
      <c r="Q273" s="78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8"/>
      <c r="N274" s="78"/>
      <c r="O274" s="78"/>
      <c r="P274" s="78"/>
      <c r="Q274" s="78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8"/>
      <c r="N275" s="78"/>
      <c r="O275" s="78"/>
      <c r="P275" s="78"/>
      <c r="Q275" s="78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8"/>
      <c r="N276" s="78"/>
      <c r="O276" s="78"/>
      <c r="P276" s="78"/>
      <c r="Q276" s="78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8"/>
      <c r="N277" s="78"/>
      <c r="O277" s="78"/>
      <c r="P277" s="78"/>
      <c r="Q277" s="78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8"/>
      <c r="N278" s="78"/>
      <c r="O278" s="78"/>
      <c r="P278" s="78"/>
      <c r="Q278" s="78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8"/>
      <c r="N279" s="78"/>
      <c r="O279" s="78"/>
      <c r="P279" s="78"/>
      <c r="Q279" s="78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8"/>
      <c r="N280" s="78"/>
      <c r="O280" s="78"/>
      <c r="P280" s="78"/>
      <c r="Q280" s="78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8"/>
      <c r="N281" s="78"/>
      <c r="O281" s="78"/>
      <c r="P281" s="78"/>
      <c r="Q281" s="78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8"/>
      <c r="N282" s="78"/>
      <c r="O282" s="78"/>
      <c r="P282" s="78"/>
      <c r="Q282" s="78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8"/>
      <c r="N283" s="78"/>
      <c r="O283" s="78"/>
      <c r="P283" s="78"/>
      <c r="Q283" s="78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8"/>
      <c r="N284" s="78"/>
      <c r="O284" s="78"/>
      <c r="P284" s="78"/>
      <c r="Q284" s="78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8"/>
      <c r="N285" s="78"/>
      <c r="O285" s="78"/>
      <c r="P285" s="78"/>
      <c r="Q285" s="78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8"/>
      <c r="N286" s="78"/>
      <c r="O286" s="78"/>
      <c r="P286" s="78"/>
      <c r="Q286" s="78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8"/>
      <c r="N287" s="78"/>
      <c r="O287" s="78"/>
      <c r="P287" s="78"/>
      <c r="Q287" s="78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8"/>
      <c r="N288" s="78"/>
      <c r="O288" s="78"/>
      <c r="P288" s="78"/>
      <c r="Q288" s="78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8"/>
      <c r="N289" s="78"/>
      <c r="O289" s="78"/>
      <c r="P289" s="78"/>
      <c r="Q289" s="78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8"/>
      <c r="N290" s="78"/>
      <c r="O290" s="78"/>
      <c r="P290" s="78"/>
      <c r="Q290" s="78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8"/>
      <c r="N291" s="78"/>
      <c r="O291" s="78"/>
      <c r="P291" s="78"/>
      <c r="Q291" s="78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8"/>
      <c r="N292" s="78"/>
      <c r="O292" s="78"/>
      <c r="P292" s="78"/>
      <c r="Q292" s="78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8"/>
      <c r="N293" s="78"/>
      <c r="O293" s="78"/>
      <c r="P293" s="78"/>
      <c r="Q293" s="78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8"/>
      <c r="N294" s="78"/>
      <c r="O294" s="78"/>
      <c r="P294" s="78"/>
      <c r="Q294" s="78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8"/>
      <c r="N295" s="78"/>
      <c r="O295" s="78"/>
      <c r="P295" s="78"/>
      <c r="Q295" s="78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8"/>
      <c r="N296" s="78"/>
      <c r="O296" s="78"/>
      <c r="P296" s="78"/>
      <c r="Q296" s="78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8"/>
      <c r="N297" s="78"/>
      <c r="O297" s="78"/>
      <c r="P297" s="78"/>
      <c r="Q297" s="78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8"/>
      <c r="N298" s="78"/>
      <c r="O298" s="78"/>
      <c r="P298" s="78"/>
      <c r="Q298" s="78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8"/>
      <c r="N299" s="78"/>
      <c r="O299" s="78"/>
      <c r="P299" s="78"/>
      <c r="Q299" s="78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8"/>
      <c r="N300" s="78"/>
      <c r="O300" s="78"/>
      <c r="P300" s="78"/>
      <c r="Q300" s="78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8"/>
      <c r="N301" s="78"/>
      <c r="O301" s="78"/>
      <c r="P301" s="78"/>
      <c r="Q301" s="78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8"/>
      <c r="N302" s="78"/>
      <c r="O302" s="78"/>
      <c r="P302" s="78"/>
      <c r="Q302" s="78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8"/>
      <c r="N303" s="78"/>
      <c r="O303" s="78"/>
      <c r="P303" s="78"/>
      <c r="Q303" s="78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8"/>
      <c r="N304" s="78"/>
      <c r="O304" s="78"/>
      <c r="P304" s="78"/>
      <c r="Q304" s="78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8"/>
      <c r="N305" s="78"/>
      <c r="O305" s="78"/>
      <c r="P305" s="78"/>
      <c r="Q305" s="78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8"/>
      <c r="N306" s="78"/>
      <c r="O306" s="78"/>
      <c r="P306" s="78"/>
      <c r="Q306" s="78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8"/>
      <c r="N307" s="78"/>
      <c r="O307" s="78"/>
      <c r="P307" s="78"/>
      <c r="Q307" s="78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8"/>
      <c r="N308" s="78"/>
      <c r="O308" s="78"/>
      <c r="P308" s="78"/>
      <c r="Q308" s="78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  <c r="AG308" s="77"/>
      <c r="AH308" s="77"/>
      <c r="AI308" s="77"/>
      <c r="AJ308" s="77"/>
      <c r="AK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8"/>
      <c r="N309" s="78"/>
      <c r="O309" s="78"/>
      <c r="P309" s="78"/>
      <c r="Q309" s="78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  <c r="AG309" s="77"/>
      <c r="AH309" s="77"/>
      <c r="AI309" s="77"/>
      <c r="AJ309" s="77"/>
      <c r="AK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8"/>
      <c r="N310" s="78"/>
      <c r="O310" s="78"/>
      <c r="P310" s="78"/>
      <c r="Q310" s="78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  <c r="AG310" s="77"/>
      <c r="AH310" s="77"/>
      <c r="AI310" s="77"/>
      <c r="AJ310" s="77"/>
      <c r="AK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8"/>
      <c r="N311" s="78"/>
      <c r="O311" s="78"/>
      <c r="P311" s="78"/>
      <c r="Q311" s="78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  <c r="AG311" s="77"/>
      <c r="AH311" s="77"/>
      <c r="AI311" s="77"/>
      <c r="AJ311" s="77"/>
      <c r="AK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8"/>
      <c r="N312" s="78"/>
      <c r="O312" s="78"/>
      <c r="P312" s="78"/>
      <c r="Q312" s="78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  <c r="AG312" s="77"/>
      <c r="AH312" s="77"/>
      <c r="AI312" s="77"/>
      <c r="AJ312" s="77"/>
      <c r="AK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8"/>
      <c r="N313" s="78"/>
      <c r="O313" s="78"/>
      <c r="P313" s="78"/>
      <c r="Q313" s="78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  <c r="AG313" s="77"/>
      <c r="AH313" s="77"/>
      <c r="AI313" s="77"/>
      <c r="AJ313" s="77"/>
      <c r="AK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8"/>
      <c r="N314" s="78"/>
      <c r="O314" s="78"/>
      <c r="P314" s="78"/>
      <c r="Q314" s="78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8"/>
      <c r="N315" s="78"/>
      <c r="O315" s="78"/>
      <c r="P315" s="78"/>
      <c r="Q315" s="78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8"/>
      <c r="N316" s="78"/>
      <c r="O316" s="78"/>
      <c r="P316" s="78"/>
      <c r="Q316" s="78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8"/>
      <c r="N317" s="78"/>
      <c r="O317" s="78"/>
      <c r="P317" s="78"/>
      <c r="Q317" s="78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8"/>
      <c r="N318" s="78"/>
      <c r="O318" s="78"/>
      <c r="P318" s="78"/>
      <c r="Q318" s="78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  <c r="AG318" s="77"/>
      <c r="AH318" s="77"/>
      <c r="AI318" s="77"/>
      <c r="AJ318" s="77"/>
      <c r="AK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8"/>
      <c r="N319" s="78"/>
      <c r="O319" s="78"/>
      <c r="P319" s="78"/>
      <c r="Q319" s="78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  <c r="AG319" s="77"/>
      <c r="AH319" s="77"/>
      <c r="AI319" s="77"/>
      <c r="AJ319" s="77"/>
      <c r="AK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8"/>
      <c r="N320" s="78"/>
      <c r="O320" s="78"/>
      <c r="P320" s="78"/>
      <c r="Q320" s="78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  <c r="AG320" s="77"/>
      <c r="AH320" s="77"/>
      <c r="AI320" s="77"/>
      <c r="AJ320" s="77"/>
      <c r="AK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8"/>
      <c r="N321" s="78"/>
      <c r="O321" s="78"/>
      <c r="P321" s="78"/>
      <c r="Q321" s="78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  <c r="AG321" s="77"/>
      <c r="AH321" s="77"/>
      <c r="AI321" s="77"/>
      <c r="AJ321" s="77"/>
      <c r="AK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8"/>
      <c r="N322" s="78"/>
      <c r="O322" s="78"/>
      <c r="P322" s="78"/>
      <c r="Q322" s="78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  <c r="AG322" s="77"/>
      <c r="AH322" s="77"/>
      <c r="AI322" s="77"/>
      <c r="AJ322" s="77"/>
      <c r="AK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8"/>
      <c r="N323" s="78"/>
      <c r="O323" s="78"/>
      <c r="P323" s="78"/>
      <c r="Q323" s="78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  <c r="AG323" s="77"/>
      <c r="AH323" s="77"/>
      <c r="AI323" s="77"/>
      <c r="AJ323" s="77"/>
      <c r="AK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8"/>
      <c r="N324" s="78"/>
      <c r="O324" s="78"/>
      <c r="P324" s="78"/>
      <c r="Q324" s="78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  <c r="AG324" s="77"/>
      <c r="AH324" s="77"/>
      <c r="AI324" s="77"/>
      <c r="AJ324" s="77"/>
      <c r="AK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8"/>
      <c r="N325" s="78"/>
      <c r="O325" s="78"/>
      <c r="P325" s="78"/>
      <c r="Q325" s="78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  <c r="AG325" s="77"/>
      <c r="AH325" s="77"/>
      <c r="AI325" s="77"/>
      <c r="AJ325" s="77"/>
      <c r="AK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8"/>
      <c r="N326" s="78"/>
      <c r="O326" s="78"/>
      <c r="P326" s="78"/>
      <c r="Q326" s="78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  <c r="AG326" s="77"/>
      <c r="AH326" s="77"/>
      <c r="AI326" s="77"/>
      <c r="AJ326" s="77"/>
      <c r="AK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8"/>
      <c r="N327" s="78"/>
      <c r="O327" s="78"/>
      <c r="P327" s="78"/>
      <c r="Q327" s="78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  <c r="AG327" s="77"/>
      <c r="AH327" s="77"/>
      <c r="AI327" s="77"/>
      <c r="AJ327" s="77"/>
      <c r="AK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8"/>
      <c r="N328" s="78"/>
      <c r="O328" s="78"/>
      <c r="P328" s="78"/>
      <c r="Q328" s="78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  <c r="AG328" s="77"/>
      <c r="AH328" s="77"/>
      <c r="AI328" s="77"/>
      <c r="AJ328" s="77"/>
      <c r="AK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8"/>
      <c r="N329" s="78"/>
      <c r="O329" s="78"/>
      <c r="P329" s="78"/>
      <c r="Q329" s="78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  <c r="AG329" s="77"/>
      <c r="AH329" s="77"/>
      <c r="AI329" s="77"/>
      <c r="AJ329" s="77"/>
      <c r="AK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8"/>
      <c r="N330" s="78"/>
      <c r="O330" s="78"/>
      <c r="P330" s="78"/>
      <c r="Q330" s="78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  <c r="AG330" s="77"/>
      <c r="AH330" s="77"/>
      <c r="AI330" s="77"/>
      <c r="AJ330" s="77"/>
      <c r="AK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8"/>
      <c r="N331" s="78"/>
      <c r="O331" s="78"/>
      <c r="P331" s="78"/>
      <c r="Q331" s="78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  <c r="AG331" s="77"/>
      <c r="AH331" s="77"/>
      <c r="AI331" s="77"/>
      <c r="AJ331" s="77"/>
      <c r="AK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8"/>
      <c r="N332" s="78"/>
      <c r="O332" s="78"/>
      <c r="P332" s="78"/>
      <c r="Q332" s="78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  <c r="AG332" s="77"/>
      <c r="AH332" s="77"/>
      <c r="AI332" s="77"/>
      <c r="AJ332" s="77"/>
      <c r="AK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8"/>
      <c r="N333" s="78"/>
      <c r="O333" s="78"/>
      <c r="P333" s="78"/>
      <c r="Q333" s="78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  <c r="AG333" s="77"/>
      <c r="AH333" s="77"/>
      <c r="AI333" s="77"/>
      <c r="AJ333" s="77"/>
      <c r="AK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8"/>
      <c r="N334" s="78"/>
      <c r="O334" s="78"/>
      <c r="P334" s="78"/>
      <c r="Q334" s="78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  <c r="AG334" s="77"/>
      <c r="AH334" s="77"/>
      <c r="AI334" s="77"/>
      <c r="AJ334" s="77"/>
      <c r="AK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8"/>
      <c r="N335" s="78"/>
      <c r="O335" s="78"/>
      <c r="P335" s="78"/>
      <c r="Q335" s="78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  <c r="AG335" s="77"/>
      <c r="AH335" s="77"/>
      <c r="AI335" s="77"/>
      <c r="AJ335" s="77"/>
      <c r="AK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8"/>
      <c r="N336" s="78"/>
      <c r="O336" s="78"/>
      <c r="P336" s="78"/>
      <c r="Q336" s="78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  <c r="AG336" s="77"/>
      <c r="AH336" s="77"/>
      <c r="AI336" s="77"/>
      <c r="AJ336" s="77"/>
      <c r="AK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8"/>
      <c r="N337" s="78"/>
      <c r="O337" s="78"/>
      <c r="P337" s="78"/>
      <c r="Q337" s="78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  <c r="AG337" s="77"/>
      <c r="AH337" s="77"/>
      <c r="AI337" s="77"/>
      <c r="AJ337" s="77"/>
      <c r="AK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8"/>
      <c r="N338" s="78"/>
      <c r="O338" s="78"/>
      <c r="P338" s="78"/>
      <c r="Q338" s="78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  <c r="AG338" s="77"/>
      <c r="AH338" s="77"/>
      <c r="AI338" s="77"/>
      <c r="AJ338" s="77"/>
      <c r="AK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8"/>
      <c r="N339" s="78"/>
      <c r="O339" s="78"/>
      <c r="P339" s="78"/>
      <c r="Q339" s="78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  <c r="AG339" s="77"/>
      <c r="AH339" s="77"/>
      <c r="AI339" s="77"/>
      <c r="AJ339" s="77"/>
      <c r="AK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8"/>
      <c r="N340" s="78"/>
      <c r="O340" s="78"/>
      <c r="P340" s="78"/>
      <c r="Q340" s="78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  <c r="AG340" s="77"/>
      <c r="AH340" s="77"/>
      <c r="AI340" s="77"/>
      <c r="AJ340" s="77"/>
      <c r="AK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8"/>
      <c r="N341" s="78"/>
      <c r="O341" s="78"/>
      <c r="P341" s="78"/>
      <c r="Q341" s="78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  <c r="AG341" s="77"/>
      <c r="AH341" s="77"/>
      <c r="AI341" s="77"/>
      <c r="AJ341" s="77"/>
      <c r="AK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8"/>
      <c r="N342" s="78"/>
      <c r="O342" s="78"/>
      <c r="P342" s="78"/>
      <c r="Q342" s="78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  <c r="AG342" s="77"/>
      <c r="AH342" s="77"/>
      <c r="AI342" s="77"/>
      <c r="AJ342" s="77"/>
      <c r="AK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8"/>
      <c r="N343" s="78"/>
      <c r="O343" s="78"/>
      <c r="P343" s="78"/>
      <c r="Q343" s="78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77"/>
      <c r="AK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8"/>
      <c r="N344" s="78"/>
      <c r="O344" s="78"/>
      <c r="P344" s="78"/>
      <c r="Q344" s="78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  <c r="AG344" s="77"/>
      <c r="AH344" s="77"/>
      <c r="AI344" s="77"/>
      <c r="AJ344" s="77"/>
      <c r="AK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8"/>
      <c r="N345" s="78"/>
      <c r="O345" s="78"/>
      <c r="P345" s="78"/>
      <c r="Q345" s="78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8"/>
      <c r="N346" s="78"/>
      <c r="O346" s="78"/>
      <c r="P346" s="78"/>
      <c r="Q346" s="78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  <c r="AG346" s="77"/>
      <c r="AH346" s="77"/>
      <c r="AI346" s="77"/>
      <c r="AJ346" s="77"/>
      <c r="AK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8"/>
      <c r="N347" s="78"/>
      <c r="O347" s="78"/>
      <c r="P347" s="78"/>
      <c r="Q347" s="78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  <c r="AG347" s="77"/>
      <c r="AH347" s="77"/>
      <c r="AI347" s="77"/>
      <c r="AJ347" s="77"/>
      <c r="AK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8"/>
      <c r="N348" s="78"/>
      <c r="O348" s="78"/>
      <c r="P348" s="78"/>
      <c r="Q348" s="78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  <c r="AG348" s="77"/>
      <c r="AH348" s="77"/>
      <c r="AI348" s="77"/>
      <c r="AJ348" s="77"/>
      <c r="AK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8"/>
      <c r="N349" s="78"/>
      <c r="O349" s="78"/>
      <c r="P349" s="78"/>
      <c r="Q349" s="78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  <c r="AG349" s="77"/>
      <c r="AH349" s="77"/>
      <c r="AI349" s="77"/>
      <c r="AJ349" s="77"/>
      <c r="AK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8"/>
      <c r="N350" s="78"/>
      <c r="O350" s="78"/>
      <c r="P350" s="78"/>
      <c r="Q350" s="78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  <c r="AG350" s="77"/>
      <c r="AH350" s="77"/>
      <c r="AI350" s="77"/>
      <c r="AJ350" s="77"/>
      <c r="AK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8"/>
      <c r="N351" s="78"/>
      <c r="O351" s="78"/>
      <c r="P351" s="78"/>
      <c r="Q351" s="78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  <c r="AG351" s="77"/>
      <c r="AH351" s="77"/>
      <c r="AI351" s="77"/>
      <c r="AJ351" s="77"/>
      <c r="AK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8"/>
      <c r="N352" s="78"/>
      <c r="O352" s="78"/>
      <c r="P352" s="78"/>
      <c r="Q352" s="78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  <c r="AG352" s="77"/>
      <c r="AH352" s="77"/>
      <c r="AI352" s="77"/>
      <c r="AJ352" s="77"/>
      <c r="AK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8"/>
      <c r="N353" s="78"/>
      <c r="O353" s="78"/>
      <c r="P353" s="78"/>
      <c r="Q353" s="78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  <c r="AG353" s="77"/>
      <c r="AH353" s="77"/>
      <c r="AI353" s="77"/>
      <c r="AJ353" s="77"/>
      <c r="AK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8"/>
      <c r="N354" s="78"/>
      <c r="O354" s="78"/>
      <c r="P354" s="78"/>
      <c r="Q354" s="78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  <c r="AG354" s="77"/>
      <c r="AH354" s="77"/>
      <c r="AI354" s="77"/>
      <c r="AJ354" s="77"/>
      <c r="AK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8"/>
      <c r="N355" s="78"/>
      <c r="O355" s="78"/>
      <c r="P355" s="78"/>
      <c r="Q355" s="78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  <c r="AG355" s="77"/>
      <c r="AH355" s="77"/>
      <c r="AI355" s="77"/>
      <c r="AJ355" s="77"/>
      <c r="AK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8"/>
      <c r="N356" s="78"/>
      <c r="O356" s="78"/>
      <c r="P356" s="78"/>
      <c r="Q356" s="78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  <c r="AG356" s="77"/>
      <c r="AH356" s="77"/>
      <c r="AI356" s="77"/>
      <c r="AJ356" s="77"/>
      <c r="AK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8"/>
      <c r="N357" s="78"/>
      <c r="O357" s="78"/>
      <c r="P357" s="78"/>
      <c r="Q357" s="78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8"/>
      <c r="N358" s="78"/>
      <c r="O358" s="78"/>
      <c r="P358" s="78"/>
      <c r="Q358" s="78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8"/>
      <c r="N359" s="78"/>
      <c r="O359" s="78"/>
      <c r="P359" s="78"/>
      <c r="Q359" s="78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  <c r="AG359" s="77"/>
      <c r="AH359" s="77"/>
      <c r="AI359" s="77"/>
      <c r="AJ359" s="77"/>
      <c r="AK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8"/>
      <c r="N360" s="78"/>
      <c r="O360" s="78"/>
      <c r="P360" s="78"/>
      <c r="Q360" s="78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8"/>
      <c r="N361" s="78"/>
      <c r="O361" s="78"/>
      <c r="P361" s="78"/>
      <c r="Q361" s="78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8"/>
      <c r="N362" s="78"/>
      <c r="O362" s="78"/>
      <c r="P362" s="78"/>
      <c r="Q362" s="78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8"/>
      <c r="N363" s="78"/>
      <c r="O363" s="78"/>
      <c r="P363" s="78"/>
      <c r="Q363" s="78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  <c r="AG363" s="77"/>
      <c r="AH363" s="77"/>
      <c r="AI363" s="77"/>
      <c r="AJ363" s="77"/>
      <c r="AK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8"/>
      <c r="N364" s="78"/>
      <c r="O364" s="78"/>
      <c r="P364" s="78"/>
      <c r="Q364" s="78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8"/>
      <c r="N365" s="78"/>
      <c r="O365" s="78"/>
      <c r="P365" s="78"/>
      <c r="Q365" s="78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8"/>
      <c r="N366" s="78"/>
      <c r="O366" s="78"/>
      <c r="P366" s="78"/>
      <c r="Q366" s="78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8"/>
      <c r="N367" s="78"/>
      <c r="O367" s="78"/>
      <c r="P367" s="78"/>
      <c r="Q367" s="78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8"/>
      <c r="N368" s="78"/>
      <c r="O368" s="78"/>
      <c r="P368" s="78"/>
      <c r="Q368" s="78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8"/>
      <c r="N369" s="78"/>
      <c r="O369" s="78"/>
      <c r="P369" s="78"/>
      <c r="Q369" s="78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8"/>
      <c r="N370" s="78"/>
      <c r="O370" s="78"/>
      <c r="P370" s="78"/>
      <c r="Q370" s="78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8"/>
      <c r="N371" s="78"/>
      <c r="O371" s="78"/>
      <c r="P371" s="78"/>
      <c r="Q371" s="78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8"/>
      <c r="N372" s="78"/>
      <c r="O372" s="78"/>
      <c r="P372" s="78"/>
      <c r="Q372" s="78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8"/>
      <c r="N373" s="78"/>
      <c r="O373" s="78"/>
      <c r="P373" s="78"/>
      <c r="Q373" s="78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8"/>
      <c r="N374" s="78"/>
      <c r="O374" s="78"/>
      <c r="P374" s="78"/>
      <c r="Q374" s="78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8"/>
      <c r="N375" s="78"/>
      <c r="O375" s="78"/>
      <c r="P375" s="78"/>
      <c r="Q375" s="78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8"/>
      <c r="N376" s="78"/>
      <c r="O376" s="78"/>
      <c r="P376" s="78"/>
      <c r="Q376" s="78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8"/>
      <c r="N377" s="78"/>
      <c r="O377" s="78"/>
      <c r="P377" s="78"/>
      <c r="Q377" s="78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8"/>
      <c r="N378" s="78"/>
      <c r="O378" s="78"/>
      <c r="P378" s="78"/>
      <c r="Q378" s="78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8"/>
      <c r="N379" s="78"/>
      <c r="O379" s="78"/>
      <c r="P379" s="78"/>
      <c r="Q379" s="78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8"/>
      <c r="N380" s="78"/>
      <c r="O380" s="78"/>
      <c r="P380" s="78"/>
      <c r="Q380" s="78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8"/>
      <c r="N381" s="78"/>
      <c r="O381" s="78"/>
      <c r="P381" s="78"/>
      <c r="Q381" s="78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8"/>
      <c r="N382" s="78"/>
      <c r="O382" s="78"/>
      <c r="P382" s="78"/>
      <c r="Q382" s="78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8"/>
      <c r="N383" s="78"/>
      <c r="O383" s="78"/>
      <c r="P383" s="78"/>
      <c r="Q383" s="78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8"/>
      <c r="N384" s="78"/>
      <c r="O384" s="78"/>
      <c r="P384" s="78"/>
      <c r="Q384" s="78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8"/>
      <c r="N385" s="78"/>
      <c r="O385" s="78"/>
      <c r="P385" s="78"/>
      <c r="Q385" s="78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8"/>
      <c r="N386" s="78"/>
      <c r="O386" s="78"/>
      <c r="P386" s="78"/>
      <c r="Q386" s="78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8"/>
      <c r="N387" s="78"/>
      <c r="O387" s="78"/>
      <c r="P387" s="78"/>
      <c r="Q387" s="78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8"/>
      <c r="N388" s="78"/>
      <c r="O388" s="78"/>
      <c r="P388" s="78"/>
      <c r="Q388" s="78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8"/>
      <c r="N389" s="78"/>
      <c r="O389" s="78"/>
      <c r="P389" s="78"/>
      <c r="Q389" s="78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8"/>
      <c r="N390" s="78"/>
      <c r="O390" s="78"/>
      <c r="P390" s="78"/>
      <c r="Q390" s="78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8"/>
      <c r="N391" s="78"/>
      <c r="O391" s="78"/>
      <c r="P391" s="78"/>
      <c r="Q391" s="78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8"/>
      <c r="N392" s="78"/>
      <c r="O392" s="78"/>
      <c r="P392" s="78"/>
      <c r="Q392" s="78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8"/>
      <c r="N393" s="78"/>
      <c r="O393" s="78"/>
      <c r="P393" s="78"/>
      <c r="Q393" s="78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8"/>
      <c r="N394" s="78"/>
      <c r="O394" s="78"/>
      <c r="P394" s="78"/>
      <c r="Q394" s="78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8"/>
      <c r="N395" s="78"/>
      <c r="O395" s="78"/>
      <c r="P395" s="78"/>
      <c r="Q395" s="78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8"/>
      <c r="N396" s="78"/>
      <c r="O396" s="78"/>
      <c r="P396" s="78"/>
      <c r="Q396" s="78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8"/>
      <c r="N397" s="78"/>
      <c r="O397" s="78"/>
      <c r="P397" s="78"/>
      <c r="Q397" s="78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8"/>
      <c r="N398" s="78"/>
      <c r="O398" s="78"/>
      <c r="P398" s="78"/>
      <c r="Q398" s="78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8"/>
      <c r="N399" s="78"/>
      <c r="O399" s="78"/>
      <c r="P399" s="78"/>
      <c r="Q399" s="78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8"/>
      <c r="N400" s="78"/>
      <c r="O400" s="78"/>
      <c r="P400" s="78"/>
      <c r="Q400" s="78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8"/>
      <c r="N401" s="78"/>
      <c r="O401" s="78"/>
      <c r="P401" s="78"/>
      <c r="Q401" s="78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8"/>
      <c r="N402" s="78"/>
      <c r="O402" s="78"/>
      <c r="P402" s="78"/>
      <c r="Q402" s="78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8"/>
      <c r="N403" s="78"/>
      <c r="O403" s="78"/>
      <c r="P403" s="78"/>
      <c r="Q403" s="78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8"/>
      <c r="N404" s="78"/>
      <c r="O404" s="78"/>
      <c r="P404" s="78"/>
      <c r="Q404" s="78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8"/>
      <c r="N405" s="78"/>
      <c r="O405" s="78"/>
      <c r="P405" s="78"/>
      <c r="Q405" s="78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8"/>
      <c r="N406" s="78"/>
      <c r="O406" s="78"/>
      <c r="P406" s="78"/>
      <c r="Q406" s="78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  <c r="AG406" s="77"/>
      <c r="AH406" s="77"/>
      <c r="AI406" s="77"/>
      <c r="AJ406" s="77"/>
      <c r="AK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8"/>
      <c r="N407" s="78"/>
      <c r="O407" s="78"/>
      <c r="P407" s="78"/>
      <c r="Q407" s="78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8"/>
      <c r="N408" s="78"/>
      <c r="O408" s="78"/>
      <c r="P408" s="78"/>
      <c r="Q408" s="78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8"/>
      <c r="N409" s="78"/>
      <c r="O409" s="78"/>
      <c r="P409" s="78"/>
      <c r="Q409" s="78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8"/>
      <c r="N410" s="78"/>
      <c r="O410" s="78"/>
      <c r="P410" s="78"/>
      <c r="Q410" s="78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8"/>
      <c r="N411" s="78"/>
      <c r="O411" s="78"/>
      <c r="P411" s="78"/>
      <c r="Q411" s="78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8"/>
      <c r="N412" s="78"/>
      <c r="O412" s="78"/>
      <c r="P412" s="78"/>
      <c r="Q412" s="78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8"/>
      <c r="N413" s="78"/>
      <c r="O413" s="78"/>
      <c r="P413" s="78"/>
      <c r="Q413" s="78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8"/>
      <c r="N414" s="78"/>
      <c r="O414" s="78"/>
      <c r="P414" s="78"/>
      <c r="Q414" s="78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8"/>
      <c r="N415" s="78"/>
      <c r="O415" s="78"/>
      <c r="P415" s="78"/>
      <c r="Q415" s="78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8"/>
      <c r="N416" s="78"/>
      <c r="O416" s="78"/>
      <c r="P416" s="78"/>
      <c r="Q416" s="78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8"/>
      <c r="N417" s="78"/>
      <c r="O417" s="78"/>
      <c r="P417" s="78"/>
      <c r="Q417" s="78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8"/>
      <c r="N418" s="78"/>
      <c r="O418" s="78"/>
      <c r="P418" s="78"/>
      <c r="Q418" s="78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8"/>
      <c r="N419" s="78"/>
      <c r="O419" s="78"/>
      <c r="P419" s="78"/>
      <c r="Q419" s="78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  <c r="AG419" s="77"/>
      <c r="AH419" s="77"/>
      <c r="AI419" s="77"/>
      <c r="AJ419" s="77"/>
      <c r="AK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8"/>
      <c r="N420" s="78"/>
      <c r="O420" s="78"/>
      <c r="P420" s="78"/>
      <c r="Q420" s="78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8"/>
      <c r="N421" s="78"/>
      <c r="O421" s="78"/>
      <c r="P421" s="78"/>
      <c r="Q421" s="78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8"/>
      <c r="N422" s="78"/>
      <c r="O422" s="78"/>
      <c r="P422" s="78"/>
      <c r="Q422" s="78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8"/>
      <c r="N423" s="78"/>
      <c r="O423" s="78"/>
      <c r="P423" s="78"/>
      <c r="Q423" s="78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8"/>
      <c r="N424" s="78"/>
      <c r="O424" s="78"/>
      <c r="P424" s="78"/>
      <c r="Q424" s="78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8"/>
      <c r="N425" s="78"/>
      <c r="O425" s="78"/>
      <c r="P425" s="78"/>
      <c r="Q425" s="78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8"/>
      <c r="N426" s="78"/>
      <c r="O426" s="78"/>
      <c r="P426" s="78"/>
      <c r="Q426" s="78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8"/>
      <c r="N427" s="78"/>
      <c r="O427" s="78"/>
      <c r="P427" s="78"/>
      <c r="Q427" s="78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8"/>
      <c r="N428" s="78"/>
      <c r="O428" s="78"/>
      <c r="P428" s="78"/>
      <c r="Q428" s="78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8"/>
      <c r="N429" s="78"/>
      <c r="O429" s="78"/>
      <c r="P429" s="78"/>
      <c r="Q429" s="78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8"/>
      <c r="N430" s="78"/>
      <c r="O430" s="78"/>
      <c r="P430" s="78"/>
      <c r="Q430" s="78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8"/>
      <c r="N431" s="78"/>
      <c r="O431" s="78"/>
      <c r="P431" s="78"/>
      <c r="Q431" s="78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8"/>
      <c r="N432" s="78"/>
      <c r="O432" s="78"/>
      <c r="P432" s="78"/>
      <c r="Q432" s="78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8"/>
      <c r="N433" s="78"/>
      <c r="O433" s="78"/>
      <c r="P433" s="78"/>
      <c r="Q433" s="78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8"/>
      <c r="N434" s="78"/>
      <c r="O434" s="78"/>
      <c r="P434" s="78"/>
      <c r="Q434" s="78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8"/>
      <c r="N435" s="78"/>
      <c r="O435" s="78"/>
      <c r="P435" s="78"/>
      <c r="Q435" s="78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8"/>
      <c r="N436" s="78"/>
      <c r="O436" s="78"/>
      <c r="P436" s="78"/>
      <c r="Q436" s="78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8"/>
      <c r="N437" s="78"/>
      <c r="O437" s="78"/>
      <c r="P437" s="78"/>
      <c r="Q437" s="78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8"/>
      <c r="N438" s="78"/>
      <c r="O438" s="78"/>
      <c r="P438" s="78"/>
      <c r="Q438" s="78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8"/>
      <c r="N439" s="78"/>
      <c r="O439" s="78"/>
      <c r="P439" s="78"/>
      <c r="Q439" s="78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8"/>
      <c r="N440" s="78"/>
      <c r="O440" s="78"/>
      <c r="P440" s="78"/>
      <c r="Q440" s="78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8"/>
      <c r="N441" s="78"/>
      <c r="O441" s="78"/>
      <c r="P441" s="78"/>
      <c r="Q441" s="78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8"/>
      <c r="N442" s="78"/>
      <c r="O442" s="78"/>
      <c r="P442" s="78"/>
      <c r="Q442" s="78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8"/>
      <c r="N443" s="78"/>
      <c r="O443" s="78"/>
      <c r="P443" s="78"/>
      <c r="Q443" s="78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8"/>
      <c r="N444" s="78"/>
      <c r="O444" s="78"/>
      <c r="P444" s="78"/>
      <c r="Q444" s="78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8"/>
      <c r="N445" s="78"/>
      <c r="O445" s="78"/>
      <c r="P445" s="78"/>
      <c r="Q445" s="78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8"/>
      <c r="N446" s="78"/>
      <c r="O446" s="78"/>
      <c r="P446" s="78"/>
      <c r="Q446" s="78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8"/>
      <c r="N447" s="78"/>
      <c r="O447" s="78"/>
      <c r="P447" s="78"/>
      <c r="Q447" s="78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8"/>
      <c r="N448" s="78"/>
      <c r="O448" s="78"/>
      <c r="P448" s="78"/>
      <c r="Q448" s="78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8"/>
      <c r="N449" s="78"/>
      <c r="O449" s="78"/>
      <c r="P449" s="78"/>
      <c r="Q449" s="78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8"/>
      <c r="N450" s="78"/>
      <c r="O450" s="78"/>
      <c r="P450" s="78"/>
      <c r="Q450" s="78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  <c r="AG450" s="77"/>
      <c r="AH450" s="77"/>
      <c r="AI450" s="77"/>
      <c r="AJ450" s="77"/>
      <c r="AK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8"/>
      <c r="N451" s="78"/>
      <c r="O451" s="78"/>
      <c r="P451" s="78"/>
      <c r="Q451" s="78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8"/>
      <c r="N452" s="78"/>
      <c r="O452" s="78"/>
      <c r="P452" s="78"/>
      <c r="Q452" s="78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8"/>
      <c r="N453" s="78"/>
      <c r="O453" s="78"/>
      <c r="P453" s="78"/>
      <c r="Q453" s="78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8"/>
      <c r="N454" s="78"/>
      <c r="O454" s="78"/>
      <c r="P454" s="78"/>
      <c r="Q454" s="78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8"/>
      <c r="N455" s="78"/>
      <c r="O455" s="78"/>
      <c r="P455" s="78"/>
      <c r="Q455" s="78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8"/>
      <c r="N456" s="78"/>
      <c r="O456" s="78"/>
      <c r="P456" s="78"/>
      <c r="Q456" s="78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8"/>
      <c r="N457" s="78"/>
      <c r="O457" s="78"/>
      <c r="P457" s="78"/>
      <c r="Q457" s="78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8"/>
      <c r="N458" s="78"/>
      <c r="O458" s="78"/>
      <c r="P458" s="78"/>
      <c r="Q458" s="78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8"/>
      <c r="N459" s="78"/>
      <c r="O459" s="78"/>
      <c r="P459" s="78"/>
      <c r="Q459" s="78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8"/>
      <c r="N460" s="78"/>
      <c r="O460" s="78"/>
      <c r="P460" s="78"/>
      <c r="Q460" s="78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8"/>
      <c r="N461" s="78"/>
      <c r="O461" s="78"/>
      <c r="P461" s="78"/>
      <c r="Q461" s="78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8"/>
      <c r="N462" s="78"/>
      <c r="O462" s="78"/>
      <c r="P462" s="78"/>
      <c r="Q462" s="78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8"/>
      <c r="N463" s="78"/>
      <c r="O463" s="78"/>
      <c r="P463" s="78"/>
      <c r="Q463" s="78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8"/>
      <c r="N464" s="78"/>
      <c r="O464" s="78"/>
      <c r="P464" s="78"/>
      <c r="Q464" s="78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8"/>
      <c r="N465" s="78"/>
      <c r="O465" s="78"/>
      <c r="P465" s="78"/>
      <c r="Q465" s="78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8"/>
      <c r="N466" s="78"/>
      <c r="O466" s="78"/>
      <c r="P466" s="78"/>
      <c r="Q466" s="78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8"/>
      <c r="N467" s="78"/>
      <c r="O467" s="78"/>
      <c r="P467" s="78"/>
      <c r="Q467" s="78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8"/>
      <c r="N468" s="78"/>
      <c r="O468" s="78"/>
      <c r="P468" s="78"/>
      <c r="Q468" s="78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8"/>
      <c r="N469" s="78"/>
      <c r="O469" s="78"/>
      <c r="P469" s="78"/>
      <c r="Q469" s="78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8"/>
      <c r="N470" s="78"/>
      <c r="O470" s="78"/>
      <c r="P470" s="78"/>
      <c r="Q470" s="78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8"/>
      <c r="N471" s="78"/>
      <c r="O471" s="78"/>
      <c r="P471" s="78"/>
      <c r="Q471" s="78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  <c r="AK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8"/>
      <c r="N472" s="78"/>
      <c r="O472" s="78"/>
      <c r="P472" s="78"/>
      <c r="Q472" s="78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8"/>
      <c r="N473" s="78"/>
      <c r="O473" s="78"/>
      <c r="P473" s="78"/>
      <c r="Q473" s="78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  <c r="AK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8"/>
      <c r="N474" s="78"/>
      <c r="O474" s="78"/>
      <c r="P474" s="78"/>
      <c r="Q474" s="78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8"/>
      <c r="N475" s="78"/>
      <c r="O475" s="78"/>
      <c r="P475" s="78"/>
      <c r="Q475" s="78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  <c r="AK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8"/>
      <c r="N476" s="78"/>
      <c r="O476" s="78"/>
      <c r="P476" s="78"/>
      <c r="Q476" s="78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8"/>
      <c r="N477" s="78"/>
      <c r="O477" s="78"/>
      <c r="P477" s="78"/>
      <c r="Q477" s="78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8"/>
      <c r="N478" s="78"/>
      <c r="O478" s="78"/>
      <c r="P478" s="78"/>
      <c r="Q478" s="78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8"/>
      <c r="N479" s="78"/>
      <c r="O479" s="78"/>
      <c r="P479" s="78"/>
      <c r="Q479" s="78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  <c r="AK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8"/>
      <c r="N480" s="78"/>
      <c r="O480" s="78"/>
      <c r="P480" s="78"/>
      <c r="Q480" s="78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8"/>
      <c r="N481" s="78"/>
      <c r="O481" s="78"/>
      <c r="P481" s="78"/>
      <c r="Q481" s="78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8"/>
      <c r="N482" s="78"/>
      <c r="O482" s="78"/>
      <c r="P482" s="78"/>
      <c r="Q482" s="78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  <c r="AK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8"/>
      <c r="N483" s="78"/>
      <c r="O483" s="78"/>
      <c r="P483" s="78"/>
      <c r="Q483" s="78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8"/>
      <c r="N484" s="78"/>
      <c r="O484" s="78"/>
      <c r="P484" s="78"/>
      <c r="Q484" s="78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8"/>
      <c r="N485" s="78"/>
      <c r="O485" s="78"/>
      <c r="P485" s="78"/>
      <c r="Q485" s="78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  <c r="AK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8"/>
      <c r="N486" s="78"/>
      <c r="O486" s="78"/>
      <c r="P486" s="78"/>
      <c r="Q486" s="78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8"/>
      <c r="N487" s="78"/>
      <c r="O487" s="78"/>
      <c r="P487" s="78"/>
      <c r="Q487" s="78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8"/>
      <c r="N488" s="78"/>
      <c r="O488" s="78"/>
      <c r="P488" s="78"/>
      <c r="Q488" s="78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8"/>
      <c r="N489" s="78"/>
      <c r="O489" s="78"/>
      <c r="P489" s="78"/>
      <c r="Q489" s="78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  <c r="AK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8"/>
      <c r="N490" s="78"/>
      <c r="O490" s="78"/>
      <c r="P490" s="78"/>
      <c r="Q490" s="78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  <c r="AK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8"/>
      <c r="N491" s="78"/>
      <c r="O491" s="78"/>
      <c r="P491" s="78"/>
      <c r="Q491" s="78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  <c r="AK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8"/>
      <c r="N492" s="78"/>
      <c r="O492" s="78"/>
      <c r="P492" s="78"/>
      <c r="Q492" s="78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  <c r="AK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8"/>
      <c r="N493" s="78"/>
      <c r="O493" s="78"/>
      <c r="P493" s="78"/>
      <c r="Q493" s="78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  <c r="AK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8"/>
      <c r="N494" s="78"/>
      <c r="O494" s="78"/>
      <c r="P494" s="78"/>
      <c r="Q494" s="78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  <c r="AK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8"/>
      <c r="N495" s="78"/>
      <c r="O495" s="78"/>
      <c r="P495" s="78"/>
      <c r="Q495" s="78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  <c r="AK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8"/>
      <c r="N496" s="78"/>
      <c r="O496" s="78"/>
      <c r="P496" s="78"/>
      <c r="Q496" s="78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  <c r="AK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8"/>
      <c r="N497" s="78"/>
      <c r="O497" s="78"/>
      <c r="P497" s="78"/>
      <c r="Q497" s="78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8"/>
      <c r="N498" s="78"/>
      <c r="O498" s="78"/>
      <c r="P498" s="78"/>
      <c r="Q498" s="78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  <c r="AK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8"/>
      <c r="N499" s="78"/>
      <c r="O499" s="78"/>
      <c r="P499" s="78"/>
      <c r="Q499" s="78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8"/>
      <c r="N500" s="78"/>
      <c r="O500" s="78"/>
      <c r="P500" s="78"/>
      <c r="Q500" s="78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  <c r="AK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8"/>
      <c r="N501" s="78"/>
      <c r="O501" s="78"/>
      <c r="P501" s="78"/>
      <c r="Q501" s="78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  <c r="AK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8"/>
      <c r="N502" s="78"/>
      <c r="O502" s="78"/>
      <c r="P502" s="78"/>
      <c r="Q502" s="78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8"/>
      <c r="N503" s="78"/>
      <c r="O503" s="78"/>
      <c r="P503" s="78"/>
      <c r="Q503" s="78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  <c r="AK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8"/>
      <c r="N504" s="78"/>
      <c r="O504" s="78"/>
      <c r="P504" s="78"/>
      <c r="Q504" s="78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8"/>
      <c r="N505" s="78"/>
      <c r="O505" s="78"/>
      <c r="P505" s="78"/>
      <c r="Q505" s="78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8"/>
      <c r="N506" s="78"/>
      <c r="O506" s="78"/>
      <c r="P506" s="78"/>
      <c r="Q506" s="78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  <c r="AK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8"/>
      <c r="N507" s="78"/>
      <c r="O507" s="78"/>
      <c r="P507" s="78"/>
      <c r="Q507" s="78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  <c r="AK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8"/>
      <c r="N508" s="78"/>
      <c r="O508" s="78"/>
      <c r="P508" s="78"/>
      <c r="Q508" s="78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8"/>
      <c r="N509" s="78"/>
      <c r="O509" s="78"/>
      <c r="P509" s="78"/>
      <c r="Q509" s="78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8"/>
      <c r="N510" s="78"/>
      <c r="O510" s="78"/>
      <c r="P510" s="78"/>
      <c r="Q510" s="78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8"/>
      <c r="N511" s="78"/>
      <c r="O511" s="78"/>
      <c r="P511" s="78"/>
      <c r="Q511" s="78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8"/>
      <c r="N512" s="78"/>
      <c r="O512" s="78"/>
      <c r="P512" s="78"/>
      <c r="Q512" s="78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8"/>
      <c r="N513" s="78"/>
      <c r="O513" s="78"/>
      <c r="P513" s="78"/>
      <c r="Q513" s="78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8"/>
      <c r="N514" s="78"/>
      <c r="O514" s="78"/>
      <c r="P514" s="78"/>
      <c r="Q514" s="78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8"/>
      <c r="N515" s="78"/>
      <c r="O515" s="78"/>
      <c r="P515" s="78"/>
      <c r="Q515" s="78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  <c r="AK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8"/>
      <c r="N516" s="78"/>
      <c r="O516" s="78"/>
      <c r="P516" s="78"/>
      <c r="Q516" s="78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8"/>
      <c r="N517" s="78"/>
      <c r="O517" s="78"/>
      <c r="P517" s="78"/>
      <c r="Q517" s="78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8"/>
      <c r="N518" s="78"/>
      <c r="O518" s="78"/>
      <c r="P518" s="78"/>
      <c r="Q518" s="78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8"/>
      <c r="N519" s="78"/>
      <c r="O519" s="78"/>
      <c r="P519" s="78"/>
      <c r="Q519" s="78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8"/>
      <c r="N520" s="78"/>
      <c r="O520" s="78"/>
      <c r="P520" s="78"/>
      <c r="Q520" s="78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  <c r="AK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8"/>
      <c r="N521" s="78"/>
      <c r="O521" s="78"/>
      <c r="P521" s="78"/>
      <c r="Q521" s="78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  <c r="AK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8"/>
      <c r="N522" s="78"/>
      <c r="O522" s="78"/>
      <c r="P522" s="78"/>
      <c r="Q522" s="78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  <c r="AK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8"/>
      <c r="N523" s="78"/>
      <c r="O523" s="78"/>
      <c r="P523" s="78"/>
      <c r="Q523" s="78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  <c r="AK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8"/>
      <c r="N524" s="78"/>
      <c r="O524" s="78"/>
      <c r="P524" s="78"/>
      <c r="Q524" s="78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8"/>
      <c r="N525" s="78"/>
      <c r="O525" s="78"/>
      <c r="P525" s="78"/>
      <c r="Q525" s="78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8"/>
      <c r="N526" s="78"/>
      <c r="O526" s="78"/>
      <c r="P526" s="78"/>
      <c r="Q526" s="78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  <c r="AK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8"/>
      <c r="N527" s="78"/>
      <c r="O527" s="78"/>
      <c r="P527" s="78"/>
      <c r="Q527" s="78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  <c r="AK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8"/>
      <c r="N528" s="78"/>
      <c r="O528" s="78"/>
      <c r="P528" s="78"/>
      <c r="Q528" s="78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  <c r="AK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8"/>
      <c r="N529" s="78"/>
      <c r="O529" s="78"/>
      <c r="P529" s="78"/>
      <c r="Q529" s="78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  <c r="AK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8"/>
      <c r="N530" s="78"/>
      <c r="O530" s="78"/>
      <c r="P530" s="78"/>
      <c r="Q530" s="78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8"/>
      <c r="N531" s="78"/>
      <c r="O531" s="78"/>
      <c r="P531" s="78"/>
      <c r="Q531" s="78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8"/>
      <c r="N532" s="78"/>
      <c r="O532" s="78"/>
      <c r="P532" s="78"/>
      <c r="Q532" s="78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8"/>
      <c r="N533" s="78"/>
      <c r="O533" s="78"/>
      <c r="P533" s="78"/>
      <c r="Q533" s="78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  <c r="AK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8"/>
      <c r="N534" s="78"/>
      <c r="O534" s="78"/>
      <c r="P534" s="78"/>
      <c r="Q534" s="78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  <c r="AK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8"/>
      <c r="N535" s="78"/>
      <c r="O535" s="78"/>
      <c r="P535" s="78"/>
      <c r="Q535" s="78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8"/>
      <c r="N536" s="78"/>
      <c r="O536" s="78"/>
      <c r="P536" s="78"/>
      <c r="Q536" s="78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  <c r="AK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8"/>
      <c r="N537" s="78"/>
      <c r="O537" s="78"/>
      <c r="P537" s="78"/>
      <c r="Q537" s="78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  <c r="AK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8"/>
      <c r="N538" s="78"/>
      <c r="O538" s="78"/>
      <c r="P538" s="78"/>
      <c r="Q538" s="78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  <c r="AK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8"/>
      <c r="N539" s="78"/>
      <c r="O539" s="78"/>
      <c r="P539" s="78"/>
      <c r="Q539" s="78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8"/>
      <c r="N540" s="78"/>
      <c r="O540" s="78"/>
      <c r="P540" s="78"/>
      <c r="Q540" s="78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8"/>
      <c r="N541" s="78"/>
      <c r="O541" s="78"/>
      <c r="P541" s="78"/>
      <c r="Q541" s="78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  <c r="AK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8"/>
      <c r="N542" s="78"/>
      <c r="O542" s="78"/>
      <c r="P542" s="78"/>
      <c r="Q542" s="78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  <c r="AK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8"/>
      <c r="N543" s="78"/>
      <c r="O543" s="78"/>
      <c r="P543" s="78"/>
      <c r="Q543" s="78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8"/>
      <c r="N544" s="78"/>
      <c r="O544" s="78"/>
      <c r="P544" s="78"/>
      <c r="Q544" s="78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8"/>
      <c r="N545" s="78"/>
      <c r="O545" s="78"/>
      <c r="P545" s="78"/>
      <c r="Q545" s="78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8"/>
      <c r="N546" s="78"/>
      <c r="O546" s="78"/>
      <c r="P546" s="78"/>
      <c r="Q546" s="78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8"/>
      <c r="N547" s="78"/>
      <c r="O547" s="78"/>
      <c r="P547" s="78"/>
      <c r="Q547" s="78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  <c r="AK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8"/>
      <c r="N548" s="78"/>
      <c r="O548" s="78"/>
      <c r="P548" s="78"/>
      <c r="Q548" s="78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  <c r="AK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8"/>
      <c r="N549" s="78"/>
      <c r="O549" s="78"/>
      <c r="P549" s="78"/>
      <c r="Q549" s="78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8"/>
      <c r="N550" s="78"/>
      <c r="O550" s="78"/>
      <c r="P550" s="78"/>
      <c r="Q550" s="78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8"/>
      <c r="N551" s="78"/>
      <c r="O551" s="78"/>
      <c r="P551" s="78"/>
      <c r="Q551" s="78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8"/>
      <c r="N552" s="78"/>
      <c r="O552" s="78"/>
      <c r="P552" s="78"/>
      <c r="Q552" s="78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8"/>
      <c r="N553" s="78"/>
      <c r="O553" s="78"/>
      <c r="P553" s="78"/>
      <c r="Q553" s="78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8"/>
      <c r="N554" s="78"/>
      <c r="O554" s="78"/>
      <c r="P554" s="78"/>
      <c r="Q554" s="78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  <c r="AK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8"/>
      <c r="N555" s="78"/>
      <c r="O555" s="78"/>
      <c r="P555" s="78"/>
      <c r="Q555" s="78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  <c r="AK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8"/>
      <c r="N556" s="78"/>
      <c r="O556" s="78"/>
      <c r="P556" s="78"/>
      <c r="Q556" s="78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8"/>
      <c r="N557" s="78"/>
      <c r="O557" s="78"/>
      <c r="P557" s="78"/>
      <c r="Q557" s="78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8"/>
      <c r="N558" s="78"/>
      <c r="O558" s="78"/>
      <c r="P558" s="78"/>
      <c r="Q558" s="78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8"/>
      <c r="N559" s="78"/>
      <c r="O559" s="78"/>
      <c r="P559" s="78"/>
      <c r="Q559" s="78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8"/>
      <c r="N560" s="78"/>
      <c r="O560" s="78"/>
      <c r="P560" s="78"/>
      <c r="Q560" s="78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8"/>
      <c r="N561" s="78"/>
      <c r="O561" s="78"/>
      <c r="P561" s="78"/>
      <c r="Q561" s="78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8"/>
      <c r="N562" s="78"/>
      <c r="O562" s="78"/>
      <c r="P562" s="78"/>
      <c r="Q562" s="78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8"/>
      <c r="N563" s="78"/>
      <c r="O563" s="78"/>
      <c r="P563" s="78"/>
      <c r="Q563" s="78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8"/>
      <c r="N564" s="78"/>
      <c r="O564" s="78"/>
      <c r="P564" s="78"/>
      <c r="Q564" s="78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8"/>
      <c r="N565" s="78"/>
      <c r="O565" s="78"/>
      <c r="P565" s="78"/>
      <c r="Q565" s="78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8"/>
      <c r="N566" s="78"/>
      <c r="O566" s="78"/>
      <c r="P566" s="78"/>
      <c r="Q566" s="78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8"/>
      <c r="N567" s="78"/>
      <c r="O567" s="78"/>
      <c r="P567" s="78"/>
      <c r="Q567" s="78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8"/>
      <c r="N568" s="78"/>
      <c r="O568" s="78"/>
      <c r="P568" s="78"/>
      <c r="Q568" s="78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8"/>
      <c r="N569" s="78"/>
      <c r="O569" s="78"/>
      <c r="P569" s="78"/>
      <c r="Q569" s="78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8"/>
      <c r="N570" s="78"/>
      <c r="O570" s="78"/>
      <c r="P570" s="78"/>
      <c r="Q570" s="78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8"/>
      <c r="N571" s="78"/>
      <c r="O571" s="78"/>
      <c r="P571" s="78"/>
      <c r="Q571" s="78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8"/>
      <c r="N572" s="78"/>
      <c r="O572" s="78"/>
      <c r="P572" s="78"/>
      <c r="Q572" s="78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8"/>
      <c r="N573" s="78"/>
      <c r="O573" s="78"/>
      <c r="P573" s="78"/>
      <c r="Q573" s="78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8"/>
      <c r="N574" s="78"/>
      <c r="O574" s="78"/>
      <c r="P574" s="78"/>
      <c r="Q574" s="78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8"/>
      <c r="N575" s="78"/>
      <c r="O575" s="78"/>
      <c r="P575" s="78"/>
      <c r="Q575" s="78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8"/>
      <c r="N576" s="78"/>
      <c r="O576" s="78"/>
      <c r="P576" s="78"/>
      <c r="Q576" s="78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8"/>
      <c r="N577" s="78"/>
      <c r="O577" s="78"/>
      <c r="P577" s="78"/>
      <c r="Q577" s="78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8"/>
      <c r="N578" s="78"/>
      <c r="O578" s="78"/>
      <c r="P578" s="78"/>
      <c r="Q578" s="78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8"/>
      <c r="N579" s="78"/>
      <c r="O579" s="78"/>
      <c r="P579" s="78"/>
      <c r="Q579" s="78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8"/>
      <c r="N580" s="78"/>
      <c r="O580" s="78"/>
      <c r="P580" s="78"/>
      <c r="Q580" s="78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8"/>
      <c r="N581" s="78"/>
      <c r="O581" s="78"/>
      <c r="P581" s="78"/>
      <c r="Q581" s="78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8"/>
      <c r="N582" s="78"/>
      <c r="O582" s="78"/>
      <c r="P582" s="78"/>
      <c r="Q582" s="78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8"/>
      <c r="N583" s="78"/>
      <c r="O583" s="78"/>
      <c r="P583" s="78"/>
      <c r="Q583" s="78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8"/>
      <c r="N584" s="78"/>
      <c r="O584" s="78"/>
      <c r="P584" s="78"/>
      <c r="Q584" s="78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8"/>
      <c r="N585" s="78"/>
      <c r="O585" s="78"/>
      <c r="P585" s="78"/>
      <c r="Q585" s="78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8"/>
      <c r="N586" s="78"/>
      <c r="O586" s="78"/>
      <c r="P586" s="78"/>
      <c r="Q586" s="78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8"/>
      <c r="N587" s="78"/>
      <c r="O587" s="78"/>
      <c r="P587" s="78"/>
      <c r="Q587" s="78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8"/>
      <c r="N588" s="78"/>
      <c r="O588" s="78"/>
      <c r="P588" s="78"/>
      <c r="Q588" s="78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  <c r="AK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8"/>
      <c r="N589" s="78"/>
      <c r="O589" s="78"/>
      <c r="P589" s="78"/>
      <c r="Q589" s="78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8"/>
      <c r="N590" s="78"/>
      <c r="O590" s="78"/>
      <c r="P590" s="78"/>
      <c r="Q590" s="78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8"/>
      <c r="N591" s="78"/>
      <c r="O591" s="78"/>
      <c r="P591" s="78"/>
      <c r="Q591" s="78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8"/>
      <c r="N592" s="78"/>
      <c r="O592" s="78"/>
      <c r="P592" s="78"/>
      <c r="Q592" s="78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8"/>
      <c r="N593" s="78"/>
      <c r="O593" s="78"/>
      <c r="P593" s="78"/>
      <c r="Q593" s="78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8"/>
      <c r="N594" s="78"/>
      <c r="O594" s="78"/>
      <c r="P594" s="78"/>
      <c r="Q594" s="78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8"/>
      <c r="N595" s="78"/>
      <c r="O595" s="78"/>
      <c r="P595" s="78"/>
      <c r="Q595" s="78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8"/>
      <c r="N596" s="78"/>
      <c r="O596" s="78"/>
      <c r="P596" s="78"/>
      <c r="Q596" s="78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8"/>
      <c r="N597" s="78"/>
      <c r="O597" s="78"/>
      <c r="P597" s="78"/>
      <c r="Q597" s="78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8"/>
      <c r="N598" s="78"/>
      <c r="O598" s="78"/>
      <c r="P598" s="78"/>
      <c r="Q598" s="78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8"/>
      <c r="N599" s="78"/>
      <c r="O599" s="78"/>
      <c r="P599" s="78"/>
      <c r="Q599" s="78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8"/>
      <c r="N600" s="78"/>
      <c r="O600" s="78"/>
      <c r="P600" s="78"/>
      <c r="Q600" s="78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8"/>
      <c r="N601" s="78"/>
      <c r="O601" s="78"/>
      <c r="P601" s="78"/>
      <c r="Q601" s="78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8"/>
      <c r="N602" s="78"/>
      <c r="O602" s="78"/>
      <c r="P602" s="78"/>
      <c r="Q602" s="78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8"/>
      <c r="N603" s="78"/>
      <c r="O603" s="78"/>
      <c r="P603" s="78"/>
      <c r="Q603" s="78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8"/>
      <c r="N604" s="78"/>
      <c r="O604" s="78"/>
      <c r="P604" s="78"/>
      <c r="Q604" s="78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8"/>
      <c r="N605" s="78"/>
      <c r="O605" s="78"/>
      <c r="P605" s="78"/>
      <c r="Q605" s="78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8"/>
      <c r="N606" s="78"/>
      <c r="O606" s="78"/>
      <c r="P606" s="78"/>
      <c r="Q606" s="78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8"/>
      <c r="N607" s="78"/>
      <c r="O607" s="78"/>
      <c r="P607" s="78"/>
      <c r="Q607" s="78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8"/>
      <c r="N608" s="78"/>
      <c r="O608" s="78"/>
      <c r="P608" s="78"/>
      <c r="Q608" s="78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</row>
  </sheetData>
  <mergeCells count="38">
    <mergeCell ref="G27:G35"/>
    <mergeCell ref="G80:G87"/>
    <mergeCell ref="G90:G98"/>
    <mergeCell ref="G101:G109"/>
    <mergeCell ref="R110:V110"/>
    <mergeCell ref="G38:G55"/>
    <mergeCell ref="G3:G11"/>
    <mergeCell ref="G14:G22"/>
    <mergeCell ref="A27:A35"/>
    <mergeCell ref="B27:B35"/>
    <mergeCell ref="G58:G66"/>
    <mergeCell ref="A38:A77"/>
    <mergeCell ref="B38:B57"/>
    <mergeCell ref="B58:B77"/>
    <mergeCell ref="A80:A87"/>
    <mergeCell ref="B80:B87"/>
    <mergeCell ref="A90:A98"/>
    <mergeCell ref="B90:B98"/>
    <mergeCell ref="A101:A109"/>
    <mergeCell ref="B101:B109"/>
    <mergeCell ref="A112:A120"/>
    <mergeCell ref="B112:B120"/>
    <mergeCell ref="G112:G120"/>
    <mergeCell ref="A123:E123"/>
    <mergeCell ref="A124:E124"/>
    <mergeCell ref="A125:E125"/>
    <mergeCell ref="A126:E126"/>
    <mergeCell ref="A127:E127"/>
    <mergeCell ref="A128:E128"/>
    <mergeCell ref="B3:B13"/>
    <mergeCell ref="B14:B22"/>
    <mergeCell ref="H1:L1"/>
    <mergeCell ref="M1:Q1"/>
    <mergeCell ref="R1:V1"/>
    <mergeCell ref="W1:AA1"/>
    <mergeCell ref="AB1:AF1"/>
    <mergeCell ref="AG1:AK1"/>
    <mergeCell ref="A3:A2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3" max="3" width="40.0"/>
    <col customWidth="1" min="4" max="4" width="25.0"/>
    <col customWidth="1" min="5" max="5" width="37.0"/>
    <col customWidth="1" min="6" max="6" width="24.0"/>
  </cols>
  <sheetData>
    <row r="1">
      <c r="A1" s="1"/>
      <c r="B1" s="2"/>
      <c r="C1" s="3"/>
      <c r="D1" s="3"/>
      <c r="E1" s="3"/>
      <c r="F1" s="4"/>
      <c r="G1" s="11" t="s">
        <v>4</v>
      </c>
      <c r="H1" s="6"/>
      <c r="I1" s="6"/>
      <c r="J1" s="6"/>
      <c r="K1" s="7"/>
      <c r="L1" s="12" t="s">
        <v>5</v>
      </c>
      <c r="M1" s="6"/>
      <c r="N1" s="6"/>
      <c r="O1" s="6"/>
      <c r="P1" s="7"/>
    </row>
    <row r="2">
      <c r="A2" s="1" t="s">
        <v>6</v>
      </c>
      <c r="B2" s="2"/>
      <c r="C2" s="3" t="s">
        <v>7</v>
      </c>
      <c r="D2" s="3" t="s">
        <v>8</v>
      </c>
      <c r="E2" s="3" t="s">
        <v>9</v>
      </c>
      <c r="F2" s="3" t="s">
        <v>10</v>
      </c>
      <c r="G2" s="15" t="s">
        <v>11</v>
      </c>
      <c r="H2" s="15" t="s">
        <v>12</v>
      </c>
      <c r="I2" s="15" t="s">
        <v>13</v>
      </c>
      <c r="J2" s="15" t="s">
        <v>14</v>
      </c>
      <c r="K2" s="15" t="s">
        <v>15</v>
      </c>
      <c r="L2" s="16" t="s">
        <v>11</v>
      </c>
      <c r="M2" s="16" t="s">
        <v>12</v>
      </c>
      <c r="N2" s="16" t="s">
        <v>13</v>
      </c>
      <c r="O2" s="16" t="s">
        <v>14</v>
      </c>
      <c r="P2" s="16" t="s">
        <v>15</v>
      </c>
    </row>
    <row r="3">
      <c r="A3" s="17" t="s">
        <v>16</v>
      </c>
      <c r="B3" s="17" t="s">
        <v>17</v>
      </c>
      <c r="C3" s="18" t="s">
        <v>18</v>
      </c>
      <c r="D3" s="18">
        <v>1.0</v>
      </c>
      <c r="E3" s="18" t="s">
        <v>19</v>
      </c>
      <c r="F3" s="18">
        <v>1.0</v>
      </c>
      <c r="G3" s="80"/>
      <c r="H3" s="80"/>
      <c r="I3" s="80"/>
      <c r="J3" s="80"/>
      <c r="K3" s="80"/>
      <c r="L3" s="81"/>
      <c r="M3" s="81"/>
      <c r="N3" s="81"/>
      <c r="O3" s="81"/>
      <c r="P3" s="81"/>
    </row>
    <row r="4">
      <c r="A4" s="25"/>
      <c r="B4" s="25"/>
      <c r="C4" s="18" t="s">
        <v>21</v>
      </c>
      <c r="D4" s="18">
        <v>1.0</v>
      </c>
      <c r="E4" s="18" t="s">
        <v>22</v>
      </c>
      <c r="F4" s="18">
        <v>1.0</v>
      </c>
      <c r="G4" s="80"/>
      <c r="H4" s="80"/>
      <c r="I4" s="80"/>
      <c r="J4" s="80"/>
      <c r="K4" s="80"/>
      <c r="L4" s="81"/>
      <c r="M4" s="81"/>
      <c r="N4" s="81"/>
      <c r="O4" s="81"/>
      <c r="P4" s="81"/>
    </row>
    <row r="5">
      <c r="A5" s="25"/>
      <c r="B5" s="25"/>
      <c r="C5" s="18" t="s">
        <v>23</v>
      </c>
      <c r="D5" s="18">
        <v>1.0</v>
      </c>
      <c r="E5" s="18" t="s">
        <v>24</v>
      </c>
      <c r="F5" s="18">
        <v>1.0</v>
      </c>
      <c r="G5" s="80"/>
      <c r="H5" s="80"/>
      <c r="I5" s="80"/>
      <c r="J5" s="80"/>
      <c r="K5" s="80"/>
      <c r="L5" s="81"/>
      <c r="M5" s="81"/>
      <c r="N5" s="81"/>
      <c r="O5" s="81"/>
      <c r="P5" s="81"/>
    </row>
    <row r="6">
      <c r="A6" s="25"/>
      <c r="B6" s="25"/>
      <c r="C6" s="18" t="s">
        <v>25</v>
      </c>
      <c r="D6" s="18">
        <v>1.0</v>
      </c>
      <c r="E6" s="18" t="s">
        <v>26</v>
      </c>
      <c r="F6" s="18">
        <v>1.0</v>
      </c>
      <c r="G6" s="80"/>
      <c r="H6" s="80"/>
      <c r="I6" s="80"/>
      <c r="J6" s="80"/>
      <c r="K6" s="80"/>
      <c r="L6" s="81"/>
      <c r="M6" s="81"/>
      <c r="N6" s="81"/>
      <c r="O6" s="81"/>
      <c r="P6" s="81"/>
    </row>
    <row r="7">
      <c r="A7" s="25"/>
      <c r="B7" s="25"/>
      <c r="C7" s="18" t="s">
        <v>27</v>
      </c>
      <c r="D7" s="18">
        <v>1.0</v>
      </c>
      <c r="E7" s="18" t="s">
        <v>28</v>
      </c>
      <c r="F7" s="18">
        <v>1.0</v>
      </c>
      <c r="G7" s="80"/>
      <c r="H7" s="80"/>
      <c r="I7" s="80"/>
      <c r="J7" s="80"/>
      <c r="K7" s="80"/>
      <c r="L7" s="81"/>
      <c r="M7" s="81"/>
      <c r="N7" s="81"/>
      <c r="O7" s="81"/>
      <c r="P7" s="81"/>
    </row>
    <row r="8">
      <c r="A8" s="25"/>
      <c r="B8" s="25"/>
      <c r="C8" s="18" t="s">
        <v>29</v>
      </c>
      <c r="D8" s="18">
        <v>1.0</v>
      </c>
      <c r="E8" s="18" t="s">
        <v>30</v>
      </c>
      <c r="F8" s="18">
        <v>1.0</v>
      </c>
      <c r="G8" s="80"/>
      <c r="H8" s="80"/>
      <c r="I8" s="80"/>
      <c r="J8" s="80"/>
      <c r="K8" s="80"/>
      <c r="L8" s="81"/>
      <c r="M8" s="81"/>
      <c r="N8" s="81"/>
      <c r="O8" s="81"/>
      <c r="P8" s="81"/>
    </row>
    <row r="9">
      <c r="A9" s="25"/>
      <c r="B9" s="25"/>
      <c r="C9" s="18" t="s">
        <v>31</v>
      </c>
      <c r="D9" s="18">
        <v>1.0</v>
      </c>
      <c r="E9" s="18" t="s">
        <v>32</v>
      </c>
      <c r="F9" s="18">
        <v>1.0</v>
      </c>
      <c r="G9" s="80"/>
      <c r="H9" s="80"/>
      <c r="I9" s="80"/>
      <c r="J9" s="80"/>
      <c r="K9" s="80"/>
      <c r="L9" s="81"/>
      <c r="M9" s="81"/>
      <c r="N9" s="81"/>
      <c r="O9" s="81"/>
      <c r="P9" s="81"/>
    </row>
    <row r="10">
      <c r="A10" s="25"/>
      <c r="B10" s="25"/>
      <c r="C10" s="18" t="s">
        <v>33</v>
      </c>
      <c r="D10" s="18">
        <v>1.0</v>
      </c>
      <c r="E10" s="18" t="s">
        <v>34</v>
      </c>
      <c r="F10" s="18">
        <v>1.0</v>
      </c>
      <c r="G10" s="80"/>
      <c r="H10" s="80"/>
      <c r="I10" s="80"/>
      <c r="J10" s="80"/>
      <c r="K10" s="80"/>
      <c r="L10" s="81"/>
      <c r="M10" s="81"/>
      <c r="N10" s="81"/>
      <c r="O10" s="81"/>
      <c r="P10" s="81"/>
    </row>
    <row r="11">
      <c r="A11" s="25"/>
      <c r="B11" s="25"/>
      <c r="C11" s="17" t="s">
        <v>35</v>
      </c>
      <c r="D11" s="18">
        <v>1.0</v>
      </c>
      <c r="E11" s="17" t="s">
        <v>36</v>
      </c>
      <c r="F11" s="18">
        <v>1.0</v>
      </c>
      <c r="G11" s="80"/>
      <c r="H11" s="80"/>
      <c r="I11" s="80"/>
      <c r="J11" s="80"/>
      <c r="K11" s="80"/>
      <c r="L11" s="81"/>
      <c r="M11" s="81"/>
      <c r="N11" s="81"/>
      <c r="O11" s="81"/>
      <c r="P11" s="81"/>
    </row>
    <row r="12">
      <c r="A12" s="25"/>
      <c r="B12" s="25"/>
      <c r="C12" s="33" t="s">
        <v>37</v>
      </c>
      <c r="D12" s="33"/>
      <c r="E12" s="33"/>
      <c r="F12" s="34"/>
      <c r="G12" s="80"/>
      <c r="H12" s="80"/>
      <c r="I12" s="80"/>
      <c r="J12" s="80"/>
      <c r="K12" s="80"/>
      <c r="L12" s="81"/>
      <c r="M12" s="81"/>
      <c r="N12" s="81"/>
      <c r="O12" s="81"/>
      <c r="P12" s="81"/>
    </row>
    <row r="13">
      <c r="A13" s="25"/>
      <c r="B13" s="25"/>
      <c r="C13" s="33" t="s">
        <v>38</v>
      </c>
      <c r="D13" s="33"/>
      <c r="E13" s="33"/>
      <c r="F13" s="34"/>
      <c r="G13" s="80"/>
      <c r="H13" s="80"/>
      <c r="I13" s="80"/>
      <c r="J13" s="80"/>
      <c r="K13" s="80"/>
      <c r="L13" s="81"/>
      <c r="M13" s="81"/>
      <c r="N13" s="81"/>
      <c r="O13" s="81"/>
      <c r="P13" s="81"/>
    </row>
    <row r="14">
      <c r="A14" s="25"/>
      <c r="B14" s="38" t="s">
        <v>39</v>
      </c>
      <c r="C14" s="39" t="s">
        <v>19</v>
      </c>
      <c r="D14" s="18">
        <v>1.0</v>
      </c>
      <c r="E14" s="39" t="s">
        <v>18</v>
      </c>
      <c r="F14" s="18">
        <v>1.0</v>
      </c>
      <c r="G14" s="80"/>
      <c r="H14" s="80"/>
      <c r="I14" s="80"/>
      <c r="J14" s="80"/>
      <c r="K14" s="80"/>
      <c r="L14" s="81"/>
      <c r="M14" s="81"/>
      <c r="N14" s="81"/>
      <c r="O14" s="81"/>
      <c r="P14" s="81"/>
    </row>
    <row r="15">
      <c r="A15" s="25"/>
      <c r="B15" s="25"/>
      <c r="C15" s="18" t="s">
        <v>22</v>
      </c>
      <c r="D15" s="18">
        <v>1.0</v>
      </c>
      <c r="E15" s="18" t="s">
        <v>21</v>
      </c>
      <c r="F15" s="18">
        <v>1.0</v>
      </c>
      <c r="G15" s="80"/>
      <c r="H15" s="80"/>
      <c r="I15" s="80"/>
      <c r="J15" s="80"/>
      <c r="K15" s="80"/>
      <c r="L15" s="81"/>
      <c r="M15" s="81"/>
      <c r="N15" s="81"/>
      <c r="O15" s="81"/>
      <c r="P15" s="81"/>
    </row>
    <row r="16">
      <c r="A16" s="25"/>
      <c r="B16" s="25"/>
      <c r="C16" s="18" t="s">
        <v>24</v>
      </c>
      <c r="D16" s="18">
        <v>1.0</v>
      </c>
      <c r="E16" s="18" t="s">
        <v>23</v>
      </c>
      <c r="F16" s="18">
        <v>1.0</v>
      </c>
      <c r="G16" s="80"/>
      <c r="H16" s="80"/>
      <c r="I16" s="80"/>
      <c r="J16" s="80"/>
      <c r="K16" s="80"/>
      <c r="L16" s="81"/>
      <c r="M16" s="81"/>
      <c r="N16" s="81"/>
      <c r="O16" s="81"/>
      <c r="P16" s="81"/>
    </row>
    <row r="17">
      <c r="A17" s="25"/>
      <c r="B17" s="25"/>
      <c r="C17" s="18" t="s">
        <v>26</v>
      </c>
      <c r="D17" s="18">
        <v>1.0</v>
      </c>
      <c r="E17" s="18" t="s">
        <v>25</v>
      </c>
      <c r="F17" s="18">
        <v>1.0</v>
      </c>
      <c r="G17" s="80"/>
      <c r="H17" s="80"/>
      <c r="I17" s="80"/>
      <c r="J17" s="80"/>
      <c r="K17" s="80"/>
      <c r="L17" s="81"/>
      <c r="M17" s="81"/>
      <c r="N17" s="81"/>
      <c r="O17" s="81"/>
      <c r="P17" s="81"/>
    </row>
    <row r="18">
      <c r="A18" s="25"/>
      <c r="B18" s="25"/>
      <c r="C18" s="18" t="s">
        <v>28</v>
      </c>
      <c r="D18" s="18">
        <v>1.0</v>
      </c>
      <c r="E18" s="18" t="s">
        <v>27</v>
      </c>
      <c r="F18" s="18">
        <v>1.0</v>
      </c>
      <c r="G18" s="80"/>
      <c r="H18" s="80"/>
      <c r="I18" s="80"/>
      <c r="J18" s="80"/>
      <c r="K18" s="80"/>
      <c r="L18" s="81"/>
      <c r="M18" s="81"/>
      <c r="N18" s="81"/>
      <c r="O18" s="81"/>
      <c r="P18" s="81"/>
    </row>
    <row r="19">
      <c r="A19" s="25"/>
      <c r="B19" s="25"/>
      <c r="C19" s="18" t="s">
        <v>30</v>
      </c>
      <c r="D19" s="18">
        <v>1.0</v>
      </c>
      <c r="E19" s="18" t="s">
        <v>29</v>
      </c>
      <c r="F19" s="18">
        <v>1.0</v>
      </c>
      <c r="G19" s="80"/>
      <c r="H19" s="80"/>
      <c r="I19" s="80"/>
      <c r="J19" s="80"/>
      <c r="K19" s="80"/>
      <c r="L19" s="81"/>
      <c r="M19" s="81"/>
      <c r="N19" s="81"/>
      <c r="O19" s="81"/>
      <c r="P19" s="81"/>
    </row>
    <row r="20">
      <c r="A20" s="25"/>
      <c r="B20" s="25"/>
      <c r="C20" s="18" t="s">
        <v>32</v>
      </c>
      <c r="D20" s="18">
        <v>1.0</v>
      </c>
      <c r="E20" s="18" t="s">
        <v>31</v>
      </c>
      <c r="F20" s="18">
        <v>1.0</v>
      </c>
      <c r="G20" s="80"/>
      <c r="H20" s="80"/>
      <c r="I20" s="80"/>
      <c r="J20" s="80"/>
      <c r="K20" s="80"/>
      <c r="L20" s="81"/>
      <c r="M20" s="81"/>
      <c r="N20" s="81"/>
      <c r="O20" s="81"/>
      <c r="P20" s="81"/>
    </row>
    <row r="21">
      <c r="A21" s="25"/>
      <c r="B21" s="25"/>
      <c r="C21" s="18" t="s">
        <v>34</v>
      </c>
      <c r="D21" s="18">
        <v>1.0</v>
      </c>
      <c r="E21" s="18" t="s">
        <v>33</v>
      </c>
      <c r="F21" s="18">
        <v>1.0</v>
      </c>
      <c r="G21" s="80"/>
      <c r="H21" s="80"/>
      <c r="I21" s="80"/>
      <c r="J21" s="80"/>
      <c r="K21" s="80"/>
      <c r="L21" s="81"/>
      <c r="M21" s="81"/>
      <c r="N21" s="81"/>
      <c r="O21" s="81"/>
      <c r="P21" s="81"/>
    </row>
    <row r="22">
      <c r="A22" s="26"/>
      <c r="B22" s="26"/>
      <c r="C22" s="18" t="s">
        <v>36</v>
      </c>
      <c r="D22" s="18">
        <v>1.0</v>
      </c>
      <c r="E22" s="18" t="s">
        <v>35</v>
      </c>
      <c r="F22" s="18">
        <v>1.0</v>
      </c>
      <c r="G22" s="80"/>
      <c r="H22" s="80"/>
      <c r="I22" s="80"/>
      <c r="J22" s="80"/>
      <c r="K22" s="80"/>
      <c r="L22" s="81"/>
      <c r="M22" s="81"/>
      <c r="N22" s="81"/>
      <c r="O22" s="81"/>
      <c r="P22" s="81"/>
    </row>
    <row r="23">
      <c r="A23" s="33"/>
      <c r="B23" s="35"/>
      <c r="C23" s="33" t="s">
        <v>37</v>
      </c>
      <c r="D23" s="35"/>
      <c r="E23" s="35"/>
      <c r="F23" s="35"/>
      <c r="G23" s="80"/>
      <c r="H23" s="80"/>
      <c r="I23" s="80"/>
      <c r="J23" s="80"/>
      <c r="K23" s="80"/>
      <c r="L23" s="81"/>
      <c r="M23" s="81"/>
      <c r="N23" s="81"/>
      <c r="O23" s="81"/>
      <c r="P23" s="81"/>
    </row>
    <row r="24">
      <c r="A24" s="33"/>
      <c r="B24" s="35"/>
      <c r="C24" s="33" t="s">
        <v>38</v>
      </c>
      <c r="D24" s="35"/>
      <c r="E24" s="35"/>
      <c r="F24" s="35"/>
      <c r="G24" s="80"/>
      <c r="H24" s="80"/>
      <c r="I24" s="80"/>
      <c r="J24" s="80"/>
      <c r="K24" s="80"/>
      <c r="L24" s="81"/>
      <c r="M24" s="81"/>
      <c r="N24" s="81"/>
      <c r="O24" s="81"/>
      <c r="P24" s="81"/>
    </row>
    <row r="25">
      <c r="A25" s="46" t="s">
        <v>37</v>
      </c>
      <c r="B25" s="47"/>
      <c r="C25" s="47"/>
      <c r="D25" s="47"/>
      <c r="E25" s="47"/>
      <c r="F25" s="47"/>
      <c r="G25" s="80"/>
      <c r="H25" s="80"/>
      <c r="I25" s="80"/>
      <c r="J25" s="80"/>
      <c r="K25" s="80"/>
      <c r="L25" s="81"/>
      <c r="M25" s="81"/>
      <c r="N25" s="81"/>
      <c r="O25" s="81"/>
      <c r="P25" s="81"/>
    </row>
    <row r="26">
      <c r="A26" s="46" t="s">
        <v>40</v>
      </c>
      <c r="B26" s="47"/>
      <c r="C26" s="47"/>
      <c r="D26" s="47"/>
      <c r="E26" s="47"/>
      <c r="F26" s="47"/>
      <c r="G26" s="80"/>
      <c r="H26" s="80"/>
      <c r="I26" s="80"/>
      <c r="J26" s="80"/>
      <c r="K26" s="80"/>
      <c r="L26" s="81"/>
      <c r="M26" s="81"/>
      <c r="N26" s="81"/>
      <c r="O26" s="81"/>
      <c r="P26" s="81"/>
    </row>
    <row r="27">
      <c r="A27" s="19" t="s">
        <v>62</v>
      </c>
      <c r="B27" s="60" t="s">
        <v>63</v>
      </c>
      <c r="C27" s="61" t="s">
        <v>125</v>
      </c>
      <c r="D27" s="62">
        <v>1.0</v>
      </c>
      <c r="E27" s="61" t="s">
        <v>126</v>
      </c>
      <c r="F27" s="62">
        <v>1.0</v>
      </c>
      <c r="G27" s="80"/>
      <c r="H27" s="80"/>
      <c r="I27" s="80"/>
      <c r="J27" s="80"/>
      <c r="K27" s="80"/>
      <c r="L27" s="81"/>
      <c r="M27" s="81"/>
      <c r="N27" s="81"/>
      <c r="O27" s="81"/>
      <c r="P27" s="81"/>
    </row>
    <row r="28">
      <c r="A28" s="25"/>
      <c r="B28" s="25"/>
      <c r="C28" s="61" t="s">
        <v>21</v>
      </c>
      <c r="D28" s="62">
        <v>1.0</v>
      </c>
      <c r="E28" s="61" t="s">
        <v>28</v>
      </c>
      <c r="F28" s="62">
        <v>1.0</v>
      </c>
      <c r="G28" s="80"/>
      <c r="H28" s="80"/>
      <c r="I28" s="80"/>
      <c r="J28" s="80"/>
      <c r="K28" s="80"/>
      <c r="L28" s="81"/>
      <c r="M28" s="81"/>
      <c r="N28" s="81"/>
      <c r="O28" s="81"/>
      <c r="P28" s="81"/>
    </row>
    <row r="29">
      <c r="A29" s="25"/>
      <c r="B29" s="25"/>
      <c r="C29" s="61" t="s">
        <v>23</v>
      </c>
      <c r="D29" s="62">
        <v>1.0</v>
      </c>
      <c r="E29" s="61" t="s">
        <v>30</v>
      </c>
      <c r="F29" s="62">
        <v>1.0</v>
      </c>
      <c r="G29" s="80"/>
      <c r="H29" s="80"/>
      <c r="I29" s="80"/>
      <c r="J29" s="80"/>
      <c r="K29" s="80"/>
      <c r="L29" s="81"/>
      <c r="M29" s="81"/>
      <c r="N29" s="81"/>
      <c r="O29" s="81"/>
      <c r="P29" s="81"/>
    </row>
    <row r="30">
      <c r="A30" s="25"/>
      <c r="B30" s="25"/>
      <c r="C30" s="61" t="s">
        <v>18</v>
      </c>
      <c r="D30" s="62">
        <v>1.0</v>
      </c>
      <c r="E30" s="61" t="s">
        <v>32</v>
      </c>
      <c r="F30" s="62">
        <v>1.0</v>
      </c>
      <c r="G30" s="80"/>
      <c r="H30" s="80"/>
      <c r="I30" s="80"/>
      <c r="J30" s="80"/>
      <c r="K30" s="80"/>
      <c r="L30" s="81"/>
      <c r="M30" s="81"/>
      <c r="N30" s="81"/>
      <c r="O30" s="81"/>
      <c r="P30" s="81"/>
    </row>
    <row r="31">
      <c r="A31" s="25"/>
      <c r="B31" s="25"/>
      <c r="C31" s="61" t="s">
        <v>21</v>
      </c>
      <c r="D31" s="62">
        <v>1.0</v>
      </c>
      <c r="E31" s="61" t="s">
        <v>34</v>
      </c>
      <c r="F31" s="62">
        <v>1.0</v>
      </c>
      <c r="G31" s="80"/>
      <c r="H31" s="80"/>
      <c r="I31" s="80"/>
      <c r="J31" s="80"/>
      <c r="K31" s="80"/>
      <c r="L31" s="81"/>
      <c r="M31" s="81"/>
      <c r="N31" s="81"/>
      <c r="O31" s="81"/>
      <c r="P31" s="81"/>
    </row>
    <row r="32">
      <c r="A32" s="25"/>
      <c r="B32" s="25"/>
      <c r="C32" s="61" t="s">
        <v>23</v>
      </c>
      <c r="D32" s="62">
        <v>1.0</v>
      </c>
      <c r="E32" s="61" t="s">
        <v>36</v>
      </c>
      <c r="F32" s="62">
        <v>1.0</v>
      </c>
      <c r="G32" s="80"/>
      <c r="H32" s="80"/>
      <c r="I32" s="80"/>
      <c r="J32" s="80"/>
      <c r="K32" s="80"/>
      <c r="L32" s="81"/>
      <c r="M32" s="81"/>
      <c r="N32" s="81"/>
      <c r="O32" s="81"/>
      <c r="P32" s="81"/>
    </row>
    <row r="33">
      <c r="A33" s="25"/>
      <c r="B33" s="25"/>
      <c r="C33" s="61" t="s">
        <v>25</v>
      </c>
      <c r="D33" s="62">
        <v>1.0</v>
      </c>
      <c r="E33" s="61" t="s">
        <v>32</v>
      </c>
      <c r="F33" s="62">
        <v>1.0</v>
      </c>
      <c r="G33" s="80"/>
      <c r="H33" s="80"/>
      <c r="I33" s="80"/>
      <c r="J33" s="80"/>
      <c r="K33" s="80"/>
      <c r="L33" s="81"/>
      <c r="M33" s="81"/>
      <c r="N33" s="81"/>
      <c r="O33" s="81"/>
      <c r="P33" s="81"/>
    </row>
    <row r="34">
      <c r="A34" s="25"/>
      <c r="B34" s="25"/>
      <c r="C34" s="61" t="s">
        <v>27</v>
      </c>
      <c r="D34" s="62">
        <v>1.0</v>
      </c>
      <c r="E34" s="61" t="s">
        <v>34</v>
      </c>
      <c r="F34" s="62">
        <v>1.0</v>
      </c>
      <c r="G34" s="80"/>
      <c r="H34" s="80"/>
      <c r="I34" s="80"/>
      <c r="J34" s="80"/>
      <c r="K34" s="80"/>
      <c r="L34" s="81"/>
      <c r="M34" s="81"/>
      <c r="N34" s="81"/>
      <c r="O34" s="81"/>
      <c r="P34" s="81"/>
    </row>
    <row r="35">
      <c r="A35" s="25"/>
      <c r="B35" s="25"/>
      <c r="C35" s="61" t="s">
        <v>29</v>
      </c>
      <c r="D35" s="62">
        <v>1.0</v>
      </c>
      <c r="E35" s="61" t="s">
        <v>36</v>
      </c>
      <c r="F35" s="62">
        <v>1.0</v>
      </c>
      <c r="G35" s="80"/>
      <c r="H35" s="80"/>
      <c r="I35" s="80"/>
      <c r="J35" s="80"/>
      <c r="K35" s="80"/>
      <c r="L35" s="81"/>
      <c r="M35" s="81"/>
      <c r="N35" s="81"/>
      <c r="O35" s="81"/>
      <c r="P35" s="81"/>
    </row>
    <row r="36">
      <c r="A36" s="25"/>
      <c r="B36" s="25"/>
      <c r="C36" s="61" t="s">
        <v>127</v>
      </c>
      <c r="D36" s="62">
        <v>1.0</v>
      </c>
      <c r="E36" s="61" t="s">
        <v>128</v>
      </c>
      <c r="F36" s="62">
        <v>1.0</v>
      </c>
      <c r="G36" s="80"/>
      <c r="H36" s="80"/>
      <c r="I36" s="80"/>
      <c r="J36" s="80"/>
      <c r="K36" s="80"/>
      <c r="L36" s="81"/>
      <c r="M36" s="81"/>
      <c r="N36" s="81"/>
      <c r="O36" s="81"/>
      <c r="P36" s="81"/>
    </row>
    <row r="37">
      <c r="A37" s="25"/>
      <c r="B37" s="25"/>
      <c r="C37" s="61" t="s">
        <v>27</v>
      </c>
      <c r="D37" s="62">
        <v>1.0</v>
      </c>
      <c r="E37" s="61" t="s">
        <v>22</v>
      </c>
      <c r="F37" s="62">
        <v>1.0</v>
      </c>
      <c r="G37" s="80"/>
      <c r="H37" s="80"/>
      <c r="I37" s="80"/>
      <c r="J37" s="80"/>
      <c r="K37" s="80"/>
      <c r="L37" s="81"/>
      <c r="M37" s="81"/>
      <c r="N37" s="81"/>
      <c r="O37" s="81"/>
      <c r="P37" s="81"/>
    </row>
    <row r="38">
      <c r="A38" s="25"/>
      <c r="B38" s="25"/>
      <c r="C38" s="61" t="s">
        <v>29</v>
      </c>
      <c r="D38" s="62">
        <v>1.0</v>
      </c>
      <c r="E38" s="61" t="s">
        <v>24</v>
      </c>
      <c r="F38" s="62">
        <v>1.0</v>
      </c>
      <c r="G38" s="80"/>
      <c r="H38" s="80"/>
      <c r="I38" s="80"/>
      <c r="J38" s="80"/>
      <c r="K38" s="80"/>
      <c r="L38" s="81"/>
      <c r="M38" s="81"/>
      <c r="N38" s="81"/>
      <c r="O38" s="81"/>
      <c r="P38" s="81"/>
    </row>
    <row r="39">
      <c r="A39" s="25"/>
      <c r="B39" s="25"/>
      <c r="C39" s="61" t="s">
        <v>31</v>
      </c>
      <c r="D39" s="62">
        <v>1.0</v>
      </c>
      <c r="E39" s="61" t="s">
        <v>19</v>
      </c>
      <c r="F39" s="62">
        <v>1.0</v>
      </c>
      <c r="G39" s="80"/>
      <c r="H39" s="80"/>
      <c r="I39" s="80"/>
      <c r="J39" s="80"/>
      <c r="K39" s="80"/>
      <c r="L39" s="81"/>
      <c r="M39" s="81"/>
      <c r="N39" s="81"/>
      <c r="O39" s="81"/>
      <c r="P39" s="81"/>
    </row>
    <row r="40">
      <c r="A40" s="25"/>
      <c r="B40" s="25"/>
      <c r="C40" s="61" t="s">
        <v>33</v>
      </c>
      <c r="D40" s="62">
        <v>1.0</v>
      </c>
      <c r="E40" s="61" t="s">
        <v>22</v>
      </c>
      <c r="F40" s="62">
        <v>1.0</v>
      </c>
      <c r="G40" s="80"/>
      <c r="H40" s="80"/>
      <c r="I40" s="80"/>
      <c r="J40" s="80"/>
      <c r="K40" s="80"/>
      <c r="L40" s="81"/>
      <c r="M40" s="81"/>
      <c r="N40" s="81"/>
      <c r="O40" s="81"/>
      <c r="P40" s="81"/>
    </row>
    <row r="41">
      <c r="A41" s="25"/>
      <c r="B41" s="25"/>
      <c r="C41" s="61" t="s">
        <v>35</v>
      </c>
      <c r="D41" s="62">
        <v>1.0</v>
      </c>
      <c r="E41" s="61" t="s">
        <v>24</v>
      </c>
      <c r="F41" s="62">
        <v>1.0</v>
      </c>
      <c r="G41" s="80"/>
      <c r="H41" s="80"/>
      <c r="I41" s="80"/>
      <c r="J41" s="80"/>
      <c r="K41" s="80"/>
      <c r="L41" s="81"/>
      <c r="M41" s="81"/>
      <c r="N41" s="81"/>
      <c r="O41" s="81"/>
      <c r="P41" s="81"/>
    </row>
    <row r="42">
      <c r="A42" s="25"/>
      <c r="B42" s="25"/>
      <c r="C42" s="61" t="s">
        <v>31</v>
      </c>
      <c r="D42" s="62">
        <v>1.0</v>
      </c>
      <c r="E42" s="61" t="s">
        <v>26</v>
      </c>
      <c r="F42" s="62">
        <v>1.0</v>
      </c>
      <c r="G42" s="80"/>
      <c r="H42" s="80"/>
      <c r="I42" s="80"/>
      <c r="J42" s="80"/>
      <c r="K42" s="80"/>
      <c r="L42" s="81"/>
      <c r="M42" s="81"/>
      <c r="N42" s="81"/>
      <c r="O42" s="81"/>
      <c r="P42" s="81"/>
    </row>
    <row r="43">
      <c r="A43" s="25"/>
      <c r="B43" s="25"/>
      <c r="C43" s="61" t="s">
        <v>33</v>
      </c>
      <c r="D43" s="62">
        <v>1.0</v>
      </c>
      <c r="E43" s="61" t="s">
        <v>28</v>
      </c>
      <c r="F43" s="62">
        <v>1.0</v>
      </c>
      <c r="G43" s="80"/>
      <c r="H43" s="80"/>
      <c r="I43" s="80"/>
      <c r="J43" s="80"/>
      <c r="K43" s="80"/>
      <c r="L43" s="81"/>
      <c r="M43" s="81"/>
      <c r="N43" s="81"/>
      <c r="O43" s="81"/>
      <c r="P43" s="81"/>
    </row>
    <row r="44">
      <c r="A44" s="25"/>
      <c r="B44" s="25"/>
      <c r="C44" s="61" t="s">
        <v>35</v>
      </c>
      <c r="D44" s="62">
        <v>1.0</v>
      </c>
      <c r="E44" s="61" t="s">
        <v>30</v>
      </c>
      <c r="F44" s="62">
        <v>1.0</v>
      </c>
      <c r="G44" s="80"/>
      <c r="H44" s="80"/>
      <c r="I44" s="80"/>
      <c r="J44" s="80"/>
      <c r="K44" s="80"/>
      <c r="L44" s="81"/>
      <c r="M44" s="81"/>
      <c r="N44" s="81"/>
      <c r="O44" s="81"/>
      <c r="P44" s="81"/>
    </row>
    <row r="45">
      <c r="A45" s="25"/>
      <c r="B45" s="25"/>
      <c r="C45" s="63" t="s">
        <v>69</v>
      </c>
      <c r="D45" s="36"/>
      <c r="E45" s="36"/>
      <c r="F45" s="36"/>
      <c r="G45" s="80"/>
      <c r="H45" s="80"/>
      <c r="I45" s="80"/>
      <c r="J45" s="80"/>
      <c r="K45" s="80"/>
      <c r="L45" s="81"/>
      <c r="M45" s="81"/>
      <c r="N45" s="81"/>
      <c r="O45" s="81"/>
      <c r="P45" s="81"/>
    </row>
    <row r="46">
      <c r="A46" s="25"/>
      <c r="B46" s="25"/>
      <c r="C46" s="63" t="s">
        <v>38</v>
      </c>
      <c r="D46" s="36"/>
      <c r="E46" s="36"/>
      <c r="F46" s="36"/>
      <c r="G46" s="80"/>
      <c r="H46" s="80"/>
      <c r="I46" s="80"/>
      <c r="J46" s="80"/>
      <c r="K46" s="80"/>
      <c r="L46" s="81"/>
      <c r="M46" s="81"/>
      <c r="N46" s="81"/>
      <c r="O46" s="81"/>
      <c r="P46" s="81"/>
    </row>
    <row r="47">
      <c r="A47" s="25"/>
      <c r="B47" s="64" t="s">
        <v>63</v>
      </c>
      <c r="C47" s="61" t="s">
        <v>129</v>
      </c>
      <c r="D47" s="62">
        <v>1.0</v>
      </c>
      <c r="E47" s="61" t="s">
        <v>130</v>
      </c>
      <c r="F47" s="62">
        <v>1.0</v>
      </c>
      <c r="G47" s="80"/>
      <c r="H47" s="80"/>
      <c r="I47" s="80"/>
      <c r="J47" s="80"/>
      <c r="K47" s="80"/>
      <c r="L47" s="81"/>
      <c r="M47" s="81"/>
      <c r="N47" s="81"/>
      <c r="O47" s="81"/>
      <c r="P47" s="81"/>
    </row>
    <row r="48">
      <c r="A48" s="25"/>
      <c r="B48" s="25"/>
      <c r="C48" s="61" t="s">
        <v>28</v>
      </c>
      <c r="D48" s="62">
        <v>1.0</v>
      </c>
      <c r="E48" s="61" t="s">
        <v>21</v>
      </c>
      <c r="F48" s="62">
        <v>1.0</v>
      </c>
      <c r="G48" s="80"/>
      <c r="H48" s="80"/>
      <c r="I48" s="80"/>
      <c r="J48" s="80"/>
      <c r="K48" s="80"/>
      <c r="L48" s="81"/>
      <c r="M48" s="81"/>
      <c r="N48" s="81"/>
      <c r="O48" s="81"/>
      <c r="P48" s="81"/>
    </row>
    <row r="49">
      <c r="A49" s="25"/>
      <c r="B49" s="25"/>
      <c r="C49" s="61" t="s">
        <v>30</v>
      </c>
      <c r="D49" s="62">
        <v>1.0</v>
      </c>
      <c r="E49" s="61" t="s">
        <v>23</v>
      </c>
      <c r="F49" s="62">
        <v>1.0</v>
      </c>
      <c r="G49" s="80"/>
      <c r="H49" s="80"/>
      <c r="I49" s="80"/>
      <c r="J49" s="80"/>
      <c r="K49" s="80"/>
      <c r="L49" s="81"/>
      <c r="M49" s="81"/>
      <c r="N49" s="81"/>
      <c r="O49" s="81"/>
      <c r="P49" s="81"/>
    </row>
    <row r="50">
      <c r="A50" s="25"/>
      <c r="B50" s="25"/>
      <c r="C50" s="61" t="s">
        <v>32</v>
      </c>
      <c r="D50" s="62">
        <v>1.0</v>
      </c>
      <c r="E50" s="61" t="s">
        <v>18</v>
      </c>
      <c r="F50" s="62">
        <v>1.0</v>
      </c>
      <c r="G50" s="80"/>
      <c r="H50" s="80"/>
      <c r="I50" s="80"/>
      <c r="J50" s="80"/>
      <c r="K50" s="80"/>
      <c r="L50" s="81"/>
      <c r="M50" s="81"/>
      <c r="N50" s="81"/>
      <c r="O50" s="81"/>
      <c r="P50" s="81"/>
    </row>
    <row r="51">
      <c r="A51" s="25"/>
      <c r="B51" s="25"/>
      <c r="C51" s="61" t="s">
        <v>34</v>
      </c>
      <c r="D51" s="62">
        <v>1.0</v>
      </c>
      <c r="E51" s="61" t="s">
        <v>21</v>
      </c>
      <c r="F51" s="62">
        <v>1.0</v>
      </c>
      <c r="G51" s="80"/>
      <c r="H51" s="80"/>
      <c r="I51" s="80"/>
      <c r="J51" s="80"/>
      <c r="K51" s="80"/>
      <c r="L51" s="81"/>
      <c r="M51" s="81"/>
      <c r="N51" s="81"/>
      <c r="O51" s="81"/>
      <c r="P51" s="81"/>
    </row>
    <row r="52">
      <c r="A52" s="25"/>
      <c r="B52" s="25"/>
      <c r="C52" s="61" t="s">
        <v>36</v>
      </c>
      <c r="D52" s="62">
        <v>1.0</v>
      </c>
      <c r="E52" s="61" t="s">
        <v>23</v>
      </c>
      <c r="F52" s="62">
        <v>1.0</v>
      </c>
      <c r="G52" s="80"/>
      <c r="H52" s="80"/>
      <c r="I52" s="80"/>
      <c r="J52" s="80"/>
      <c r="K52" s="80"/>
      <c r="L52" s="81"/>
      <c r="M52" s="81"/>
      <c r="N52" s="81"/>
      <c r="O52" s="81"/>
      <c r="P52" s="81"/>
    </row>
    <row r="53">
      <c r="A53" s="25"/>
      <c r="B53" s="25"/>
      <c r="C53" s="61" t="s">
        <v>32</v>
      </c>
      <c r="D53" s="62">
        <v>1.0</v>
      </c>
      <c r="E53" s="61" t="s">
        <v>25</v>
      </c>
      <c r="F53" s="62">
        <v>1.0</v>
      </c>
      <c r="G53" s="80"/>
      <c r="H53" s="80"/>
      <c r="I53" s="80"/>
      <c r="J53" s="80"/>
      <c r="K53" s="80"/>
      <c r="L53" s="81"/>
      <c r="M53" s="81"/>
      <c r="N53" s="81"/>
      <c r="O53" s="81"/>
      <c r="P53" s="81"/>
    </row>
    <row r="54">
      <c r="A54" s="25"/>
      <c r="B54" s="25"/>
      <c r="C54" s="61" t="s">
        <v>34</v>
      </c>
      <c r="D54" s="62">
        <v>1.0</v>
      </c>
      <c r="E54" s="61" t="s">
        <v>27</v>
      </c>
      <c r="F54" s="62">
        <v>1.0</v>
      </c>
      <c r="G54" s="80"/>
      <c r="H54" s="80"/>
      <c r="I54" s="80"/>
      <c r="J54" s="80"/>
      <c r="K54" s="80"/>
      <c r="L54" s="81"/>
      <c r="M54" s="81"/>
      <c r="N54" s="81"/>
      <c r="O54" s="81"/>
      <c r="P54" s="81"/>
    </row>
    <row r="55">
      <c r="A55" s="25"/>
      <c r="B55" s="25"/>
      <c r="C55" s="61" t="s">
        <v>36</v>
      </c>
      <c r="D55" s="62">
        <v>1.0</v>
      </c>
      <c r="E55" s="61" t="s">
        <v>29</v>
      </c>
      <c r="F55" s="62">
        <v>1.0</v>
      </c>
      <c r="G55" s="80"/>
      <c r="H55" s="80"/>
      <c r="I55" s="80"/>
      <c r="J55" s="80"/>
      <c r="K55" s="80"/>
      <c r="L55" s="81"/>
      <c r="M55" s="81"/>
      <c r="N55" s="81"/>
      <c r="O55" s="81"/>
      <c r="P55" s="81"/>
    </row>
    <row r="56">
      <c r="A56" s="25"/>
      <c r="B56" s="25"/>
      <c r="C56" s="61" t="s">
        <v>131</v>
      </c>
      <c r="D56" s="62">
        <v>1.0</v>
      </c>
      <c r="E56" s="61" t="s">
        <v>132</v>
      </c>
      <c r="F56" s="62">
        <v>1.0</v>
      </c>
      <c r="G56" s="80"/>
      <c r="H56" s="80"/>
      <c r="I56" s="80"/>
      <c r="J56" s="80"/>
      <c r="K56" s="80"/>
      <c r="L56" s="81"/>
      <c r="M56" s="81"/>
      <c r="N56" s="81"/>
      <c r="O56" s="81"/>
      <c r="P56" s="81"/>
    </row>
    <row r="57">
      <c r="A57" s="25"/>
      <c r="B57" s="25"/>
      <c r="C57" s="61" t="s">
        <v>22</v>
      </c>
      <c r="D57" s="62">
        <v>1.0</v>
      </c>
      <c r="E57" s="61" t="s">
        <v>27</v>
      </c>
      <c r="F57" s="62">
        <v>1.0</v>
      </c>
      <c r="G57" s="80"/>
      <c r="H57" s="80"/>
      <c r="I57" s="80"/>
      <c r="J57" s="80"/>
      <c r="K57" s="80"/>
      <c r="L57" s="81"/>
      <c r="M57" s="81"/>
      <c r="N57" s="81"/>
      <c r="O57" s="81"/>
      <c r="P57" s="81"/>
    </row>
    <row r="58">
      <c r="A58" s="25"/>
      <c r="B58" s="25"/>
      <c r="C58" s="61" t="s">
        <v>24</v>
      </c>
      <c r="D58" s="62">
        <v>1.0</v>
      </c>
      <c r="E58" s="61" t="s">
        <v>29</v>
      </c>
      <c r="F58" s="62">
        <v>1.0</v>
      </c>
      <c r="G58" s="80"/>
      <c r="H58" s="80"/>
      <c r="I58" s="80"/>
      <c r="J58" s="80"/>
      <c r="K58" s="80"/>
      <c r="L58" s="81"/>
      <c r="M58" s="81"/>
      <c r="N58" s="81"/>
      <c r="O58" s="81"/>
      <c r="P58" s="81"/>
    </row>
    <row r="59">
      <c r="A59" s="25"/>
      <c r="B59" s="25"/>
      <c r="C59" s="61" t="s">
        <v>19</v>
      </c>
      <c r="D59" s="62">
        <v>1.0</v>
      </c>
      <c r="E59" s="61" t="s">
        <v>31</v>
      </c>
      <c r="F59" s="62">
        <v>1.0</v>
      </c>
      <c r="G59" s="80"/>
      <c r="H59" s="80"/>
      <c r="I59" s="80"/>
      <c r="J59" s="80"/>
      <c r="K59" s="80"/>
      <c r="L59" s="81"/>
      <c r="M59" s="81"/>
      <c r="N59" s="81"/>
      <c r="O59" s="81"/>
      <c r="P59" s="81"/>
    </row>
    <row r="60">
      <c r="A60" s="25"/>
      <c r="B60" s="25"/>
      <c r="C60" s="61" t="s">
        <v>22</v>
      </c>
      <c r="D60" s="62">
        <v>1.0</v>
      </c>
      <c r="E60" s="61" t="s">
        <v>33</v>
      </c>
      <c r="F60" s="62">
        <v>1.0</v>
      </c>
      <c r="G60" s="80"/>
      <c r="H60" s="80"/>
      <c r="I60" s="80"/>
      <c r="J60" s="80"/>
      <c r="K60" s="80"/>
      <c r="L60" s="81"/>
      <c r="M60" s="81"/>
      <c r="N60" s="81"/>
      <c r="O60" s="81"/>
      <c r="P60" s="81"/>
    </row>
    <row r="61">
      <c r="A61" s="25"/>
      <c r="B61" s="25"/>
      <c r="C61" s="61" t="s">
        <v>24</v>
      </c>
      <c r="D61" s="62">
        <v>1.0</v>
      </c>
      <c r="E61" s="61" t="s">
        <v>35</v>
      </c>
      <c r="F61" s="62">
        <v>1.0</v>
      </c>
      <c r="G61" s="80"/>
      <c r="H61" s="80"/>
      <c r="I61" s="80"/>
      <c r="J61" s="80"/>
      <c r="K61" s="80"/>
      <c r="L61" s="81"/>
      <c r="M61" s="81"/>
      <c r="N61" s="81"/>
      <c r="O61" s="81"/>
      <c r="P61" s="81"/>
    </row>
    <row r="62">
      <c r="A62" s="25"/>
      <c r="B62" s="25"/>
      <c r="C62" s="61" t="s">
        <v>26</v>
      </c>
      <c r="D62" s="62">
        <v>1.0</v>
      </c>
      <c r="E62" s="61" t="s">
        <v>31</v>
      </c>
      <c r="F62" s="62">
        <v>1.0</v>
      </c>
      <c r="G62" s="80"/>
      <c r="H62" s="80"/>
      <c r="I62" s="80"/>
      <c r="J62" s="80"/>
      <c r="K62" s="80"/>
      <c r="L62" s="81"/>
      <c r="M62" s="81"/>
      <c r="N62" s="81"/>
      <c r="O62" s="81"/>
      <c r="P62" s="81"/>
    </row>
    <row r="63">
      <c r="A63" s="25"/>
      <c r="B63" s="25"/>
      <c r="C63" s="61" t="s">
        <v>28</v>
      </c>
      <c r="D63" s="62">
        <v>1.0</v>
      </c>
      <c r="E63" s="61" t="s">
        <v>33</v>
      </c>
      <c r="F63" s="62">
        <v>1.0</v>
      </c>
      <c r="G63" s="80"/>
      <c r="H63" s="80"/>
      <c r="I63" s="80"/>
      <c r="J63" s="80"/>
      <c r="K63" s="80"/>
      <c r="L63" s="81"/>
      <c r="M63" s="81"/>
      <c r="N63" s="81"/>
      <c r="O63" s="81"/>
      <c r="P63" s="81"/>
    </row>
    <row r="64">
      <c r="A64" s="25"/>
      <c r="B64" s="25"/>
      <c r="C64" s="61" t="s">
        <v>30</v>
      </c>
      <c r="D64" s="62">
        <v>1.0</v>
      </c>
      <c r="E64" s="61" t="s">
        <v>35</v>
      </c>
      <c r="F64" s="62">
        <v>1.0</v>
      </c>
      <c r="G64" s="80"/>
      <c r="H64" s="80"/>
      <c r="I64" s="80"/>
      <c r="J64" s="80"/>
      <c r="K64" s="80"/>
      <c r="L64" s="81"/>
      <c r="M64" s="81"/>
      <c r="N64" s="81"/>
      <c r="O64" s="81"/>
      <c r="P64" s="81"/>
    </row>
    <row r="65">
      <c r="A65" s="25"/>
      <c r="B65" s="25"/>
      <c r="C65" s="63" t="s">
        <v>69</v>
      </c>
      <c r="D65" s="36"/>
      <c r="E65" s="36"/>
      <c r="F65" s="36"/>
      <c r="G65" s="80"/>
      <c r="H65" s="80"/>
      <c r="I65" s="80"/>
      <c r="J65" s="80"/>
      <c r="K65" s="80"/>
      <c r="L65" s="81"/>
      <c r="M65" s="81"/>
      <c r="N65" s="81"/>
      <c r="O65" s="81"/>
      <c r="P65" s="81"/>
    </row>
    <row r="66">
      <c r="A66" s="26"/>
      <c r="B66" s="26"/>
      <c r="C66" s="63" t="s">
        <v>38</v>
      </c>
      <c r="D66" s="36"/>
      <c r="E66" s="36"/>
      <c r="F66" s="36"/>
      <c r="G66" s="80"/>
      <c r="H66" s="80"/>
      <c r="I66" s="80"/>
      <c r="J66" s="80"/>
      <c r="K66" s="80"/>
      <c r="L66" s="81"/>
      <c r="M66" s="81"/>
      <c r="N66" s="81"/>
      <c r="O66" s="81"/>
      <c r="P66" s="81"/>
    </row>
    <row r="67">
      <c r="A67" s="59" t="s">
        <v>37</v>
      </c>
      <c r="B67" s="47"/>
      <c r="C67" s="47"/>
      <c r="D67" s="47"/>
      <c r="E67" s="47"/>
      <c r="F67" s="47"/>
      <c r="G67" s="80"/>
      <c r="H67" s="80"/>
      <c r="I67" s="80"/>
      <c r="J67" s="80"/>
      <c r="K67" s="80"/>
      <c r="L67" s="81"/>
      <c r="M67" s="81"/>
      <c r="N67" s="81"/>
      <c r="O67" s="81"/>
      <c r="P67" s="81"/>
    </row>
    <row r="68">
      <c r="A68" s="59" t="s">
        <v>40</v>
      </c>
      <c r="B68" s="47"/>
      <c r="C68" s="47"/>
      <c r="D68" s="47"/>
      <c r="E68" s="47"/>
      <c r="F68" s="47"/>
      <c r="G68" s="80"/>
      <c r="H68" s="80"/>
      <c r="I68" s="80"/>
      <c r="J68" s="80"/>
      <c r="K68" s="80"/>
      <c r="L68" s="81"/>
      <c r="M68" s="81"/>
      <c r="N68" s="81"/>
      <c r="O68" s="81"/>
      <c r="P68" s="81"/>
    </row>
    <row r="69">
      <c r="A69" s="60" t="s">
        <v>75</v>
      </c>
      <c r="B69" s="60" t="s">
        <v>76</v>
      </c>
      <c r="C69" s="61" t="s">
        <v>77</v>
      </c>
      <c r="D69" s="62">
        <v>2.0</v>
      </c>
      <c r="E69" s="61" t="s">
        <v>78</v>
      </c>
      <c r="F69" s="62">
        <v>2.0</v>
      </c>
      <c r="G69" s="80"/>
      <c r="H69" s="80"/>
      <c r="I69" s="80"/>
      <c r="J69" s="80"/>
      <c r="K69" s="80"/>
      <c r="L69" s="81"/>
      <c r="M69" s="81"/>
      <c r="N69" s="81"/>
      <c r="O69" s="81"/>
      <c r="P69" s="81"/>
    </row>
    <row r="70">
      <c r="A70" s="25"/>
      <c r="B70" s="25"/>
      <c r="C70" s="61" t="s">
        <v>80</v>
      </c>
      <c r="D70" s="62">
        <v>2.0</v>
      </c>
      <c r="E70" s="61" t="s">
        <v>81</v>
      </c>
      <c r="F70" s="62">
        <v>2.0</v>
      </c>
      <c r="G70" s="80"/>
      <c r="H70" s="80"/>
      <c r="I70" s="80"/>
      <c r="J70" s="80"/>
      <c r="K70" s="80"/>
      <c r="L70" s="81"/>
      <c r="M70" s="81"/>
      <c r="N70" s="81"/>
      <c r="O70" s="81"/>
      <c r="P70" s="81"/>
    </row>
    <row r="71">
      <c r="A71" s="25"/>
      <c r="B71" s="25"/>
      <c r="C71" s="61" t="s">
        <v>82</v>
      </c>
      <c r="D71" s="62">
        <v>2.0</v>
      </c>
      <c r="E71" s="61" t="s">
        <v>83</v>
      </c>
      <c r="F71" s="62">
        <v>2.0</v>
      </c>
      <c r="G71" s="80"/>
      <c r="H71" s="80"/>
      <c r="I71" s="80"/>
      <c r="J71" s="80"/>
      <c r="K71" s="80"/>
      <c r="L71" s="81"/>
      <c r="M71" s="81"/>
      <c r="N71" s="81"/>
      <c r="O71" s="81"/>
      <c r="P71" s="81"/>
    </row>
    <row r="72">
      <c r="A72" s="25"/>
      <c r="B72" s="25"/>
      <c r="C72" s="61" t="s">
        <v>77</v>
      </c>
      <c r="D72" s="62">
        <v>2.0</v>
      </c>
      <c r="E72" s="61" t="s">
        <v>84</v>
      </c>
      <c r="F72" s="62">
        <v>2.0</v>
      </c>
      <c r="G72" s="80"/>
      <c r="H72" s="80"/>
      <c r="I72" s="80"/>
      <c r="J72" s="80"/>
      <c r="K72" s="80"/>
      <c r="L72" s="81"/>
      <c r="M72" s="81"/>
      <c r="N72" s="81"/>
      <c r="O72" s="81"/>
      <c r="P72" s="81"/>
    </row>
    <row r="73">
      <c r="A73" s="25"/>
      <c r="B73" s="25"/>
      <c r="C73" s="61" t="s">
        <v>80</v>
      </c>
      <c r="D73" s="62">
        <v>2.0</v>
      </c>
      <c r="E73" s="61" t="s">
        <v>85</v>
      </c>
      <c r="F73" s="62">
        <v>2.0</v>
      </c>
      <c r="G73" s="80"/>
      <c r="H73" s="80"/>
      <c r="I73" s="80"/>
      <c r="J73" s="80"/>
      <c r="K73" s="80"/>
      <c r="L73" s="81"/>
      <c r="M73" s="81"/>
      <c r="N73" s="81"/>
      <c r="O73" s="81"/>
      <c r="P73" s="81"/>
    </row>
    <row r="74">
      <c r="A74" s="25"/>
      <c r="B74" s="25"/>
      <c r="C74" s="61" t="s">
        <v>86</v>
      </c>
      <c r="D74" s="62">
        <v>2.0</v>
      </c>
      <c r="E74" s="61" t="s">
        <v>83</v>
      </c>
      <c r="F74" s="62">
        <v>2.0</v>
      </c>
      <c r="G74" s="80"/>
      <c r="H74" s="80"/>
      <c r="I74" s="80"/>
      <c r="J74" s="80"/>
      <c r="K74" s="80"/>
      <c r="L74" s="81"/>
      <c r="M74" s="81"/>
      <c r="N74" s="81"/>
      <c r="O74" s="81"/>
      <c r="P74" s="81"/>
    </row>
    <row r="75">
      <c r="A75" s="25"/>
      <c r="B75" s="25"/>
      <c r="C75" s="61" t="s">
        <v>78</v>
      </c>
      <c r="D75" s="62">
        <v>2.0</v>
      </c>
      <c r="E75" s="61" t="s">
        <v>84</v>
      </c>
      <c r="F75" s="62">
        <v>2.0</v>
      </c>
      <c r="G75" s="80"/>
      <c r="H75" s="80"/>
      <c r="I75" s="80"/>
      <c r="J75" s="80"/>
      <c r="K75" s="80"/>
      <c r="L75" s="81"/>
      <c r="M75" s="81"/>
      <c r="N75" s="81"/>
      <c r="O75" s="81"/>
      <c r="P75" s="81"/>
    </row>
    <row r="76">
      <c r="A76" s="25"/>
      <c r="B76" s="25"/>
      <c r="C76" s="61" t="s">
        <v>81</v>
      </c>
      <c r="D76" s="62">
        <v>2.0</v>
      </c>
      <c r="E76" s="61" t="s">
        <v>85</v>
      </c>
      <c r="F76" s="62">
        <v>2.0</v>
      </c>
      <c r="G76" s="80"/>
      <c r="H76" s="80"/>
      <c r="I76" s="80"/>
      <c r="J76" s="80"/>
      <c r="K76" s="80"/>
      <c r="L76" s="81"/>
      <c r="M76" s="81"/>
      <c r="N76" s="81"/>
      <c r="O76" s="81"/>
      <c r="P76" s="81"/>
    </row>
    <row r="77">
      <c r="A77" s="68" t="s">
        <v>37</v>
      </c>
      <c r="B77" s="68"/>
      <c r="C77" s="47"/>
      <c r="D77" s="47"/>
      <c r="E77" s="47"/>
      <c r="F77" s="47"/>
      <c r="G77" s="80"/>
      <c r="H77" s="80"/>
      <c r="I77" s="80"/>
      <c r="J77" s="80"/>
      <c r="K77" s="80"/>
      <c r="L77" s="81"/>
      <c r="M77" s="81"/>
      <c r="N77" s="81"/>
      <c r="O77" s="81"/>
      <c r="P77" s="81"/>
    </row>
    <row r="78">
      <c r="A78" s="59" t="s">
        <v>38</v>
      </c>
      <c r="B78" s="47"/>
      <c r="C78" s="47"/>
      <c r="D78" s="47"/>
      <c r="E78" s="47"/>
      <c r="F78" s="47"/>
      <c r="G78" s="80"/>
      <c r="H78" s="80"/>
      <c r="I78" s="80"/>
      <c r="J78" s="80"/>
      <c r="K78" s="80"/>
      <c r="L78" s="81"/>
      <c r="M78" s="81"/>
      <c r="N78" s="81"/>
      <c r="O78" s="81"/>
      <c r="P78" s="81"/>
    </row>
    <row r="79">
      <c r="A79" s="60" t="s">
        <v>87</v>
      </c>
      <c r="B79" s="60" t="s">
        <v>88</v>
      </c>
      <c r="C79" s="61" t="s">
        <v>133</v>
      </c>
      <c r="D79" s="62">
        <v>4.0</v>
      </c>
      <c r="E79" s="61" t="s">
        <v>83</v>
      </c>
      <c r="F79" s="62">
        <v>4.0</v>
      </c>
      <c r="G79" s="80"/>
      <c r="H79" s="80"/>
      <c r="I79" s="80"/>
      <c r="J79" s="80"/>
      <c r="K79" s="80"/>
      <c r="L79" s="81"/>
      <c r="M79" s="81"/>
      <c r="N79" s="81"/>
      <c r="O79" s="81"/>
      <c r="P79" s="81"/>
    </row>
    <row r="80">
      <c r="A80" s="25"/>
      <c r="B80" s="25"/>
      <c r="C80" s="61" t="s">
        <v>134</v>
      </c>
      <c r="D80" s="62">
        <v>4.0</v>
      </c>
      <c r="E80" s="61" t="s">
        <v>135</v>
      </c>
      <c r="F80" s="62">
        <v>4.0</v>
      </c>
      <c r="G80" s="80"/>
      <c r="H80" s="80"/>
      <c r="I80" s="80"/>
      <c r="J80" s="80"/>
      <c r="K80" s="80"/>
      <c r="L80" s="81"/>
      <c r="M80" s="81"/>
      <c r="N80" s="81"/>
      <c r="O80" s="81"/>
      <c r="P80" s="81"/>
    </row>
    <row r="81">
      <c r="A81" s="25"/>
      <c r="B81" s="25"/>
      <c r="C81" s="61" t="s">
        <v>136</v>
      </c>
      <c r="D81" s="62">
        <v>4.0</v>
      </c>
      <c r="E81" s="61" t="s">
        <v>137</v>
      </c>
      <c r="F81" s="62">
        <v>4.0</v>
      </c>
      <c r="G81" s="80"/>
      <c r="H81" s="80"/>
      <c r="I81" s="80"/>
      <c r="J81" s="80"/>
      <c r="K81" s="80"/>
      <c r="L81" s="81"/>
      <c r="M81" s="81"/>
      <c r="N81" s="81"/>
      <c r="O81" s="81"/>
      <c r="P81" s="81"/>
    </row>
    <row r="82">
      <c r="A82" s="25"/>
      <c r="B82" s="25"/>
      <c r="C82" s="61" t="s">
        <v>138</v>
      </c>
      <c r="D82" s="62">
        <v>4.0</v>
      </c>
      <c r="E82" s="61" t="s">
        <v>139</v>
      </c>
      <c r="F82" s="62">
        <v>4.0</v>
      </c>
      <c r="G82" s="80"/>
      <c r="H82" s="80"/>
      <c r="I82" s="80"/>
      <c r="J82" s="80"/>
      <c r="K82" s="80"/>
      <c r="L82" s="81"/>
      <c r="M82" s="81"/>
      <c r="N82" s="81"/>
      <c r="O82" s="81"/>
      <c r="P82" s="81"/>
    </row>
    <row r="83">
      <c r="A83" s="25"/>
      <c r="B83" s="25"/>
      <c r="C83" s="61" t="s">
        <v>140</v>
      </c>
      <c r="D83" s="62">
        <v>4.0</v>
      </c>
      <c r="E83" s="61" t="s">
        <v>141</v>
      </c>
      <c r="F83" s="62">
        <v>4.0</v>
      </c>
      <c r="G83" s="80"/>
      <c r="H83" s="80"/>
      <c r="I83" s="80"/>
      <c r="J83" s="80"/>
      <c r="K83" s="80"/>
      <c r="L83" s="81"/>
      <c r="M83" s="81"/>
      <c r="N83" s="81"/>
      <c r="O83" s="81"/>
      <c r="P83" s="81"/>
    </row>
    <row r="84">
      <c r="A84" s="25"/>
      <c r="B84" s="25"/>
      <c r="C84" s="61" t="s">
        <v>142</v>
      </c>
      <c r="D84" s="62">
        <v>4.0</v>
      </c>
      <c r="E84" s="61" t="s">
        <v>143</v>
      </c>
      <c r="F84" s="62">
        <v>4.0</v>
      </c>
      <c r="G84" s="80"/>
      <c r="H84" s="80"/>
      <c r="I84" s="80"/>
      <c r="J84" s="80"/>
      <c r="K84" s="80"/>
      <c r="L84" s="81"/>
      <c r="M84" s="81"/>
      <c r="N84" s="81"/>
      <c r="O84" s="81"/>
      <c r="P84" s="81"/>
    </row>
    <row r="85">
      <c r="A85" s="25"/>
      <c r="B85" s="25"/>
      <c r="C85" s="61" t="s">
        <v>144</v>
      </c>
      <c r="D85" s="62">
        <v>4.0</v>
      </c>
      <c r="E85" s="61" t="s">
        <v>145</v>
      </c>
      <c r="F85" s="62">
        <v>4.0</v>
      </c>
      <c r="G85" s="80"/>
      <c r="H85" s="80"/>
      <c r="I85" s="80"/>
      <c r="J85" s="80"/>
      <c r="K85" s="80"/>
      <c r="L85" s="81"/>
      <c r="M85" s="81"/>
      <c r="N85" s="81"/>
      <c r="O85" s="81"/>
      <c r="P85" s="81"/>
    </row>
    <row r="86">
      <c r="A86" s="25"/>
      <c r="B86" s="25"/>
      <c r="C86" s="61" t="s">
        <v>146</v>
      </c>
      <c r="D86" s="62">
        <v>4.0</v>
      </c>
      <c r="E86" s="61" t="s">
        <v>147</v>
      </c>
      <c r="F86" s="62">
        <v>4.0</v>
      </c>
      <c r="G86" s="80"/>
      <c r="H86" s="80"/>
      <c r="I86" s="80"/>
      <c r="J86" s="80"/>
      <c r="K86" s="80"/>
      <c r="L86" s="81"/>
      <c r="M86" s="81"/>
      <c r="N86" s="81"/>
      <c r="O86" s="81"/>
      <c r="P86" s="81"/>
    </row>
    <row r="87">
      <c r="A87" s="26"/>
      <c r="B87" s="26"/>
      <c r="C87" s="61" t="s">
        <v>148</v>
      </c>
      <c r="D87" s="62">
        <v>4.0</v>
      </c>
      <c r="E87" s="61" t="s">
        <v>149</v>
      </c>
      <c r="F87" s="62">
        <v>4.0</v>
      </c>
      <c r="G87" s="80"/>
      <c r="H87" s="80"/>
      <c r="I87" s="80"/>
      <c r="J87" s="80"/>
      <c r="K87" s="80"/>
      <c r="L87" s="81"/>
      <c r="M87" s="81"/>
      <c r="N87" s="81"/>
      <c r="O87" s="81"/>
      <c r="P87" s="81"/>
    </row>
    <row r="88">
      <c r="A88" s="46" t="s">
        <v>37</v>
      </c>
      <c r="B88" s="47"/>
      <c r="C88" s="47"/>
      <c r="D88" s="47"/>
      <c r="E88" s="47"/>
      <c r="F88" s="47"/>
      <c r="G88" s="80"/>
      <c r="H88" s="80"/>
      <c r="I88" s="80"/>
      <c r="J88" s="80"/>
      <c r="K88" s="80"/>
      <c r="L88" s="81"/>
      <c r="M88" s="81"/>
      <c r="N88" s="81"/>
      <c r="O88" s="81"/>
      <c r="P88" s="81"/>
    </row>
    <row r="89">
      <c r="A89" s="59" t="s">
        <v>40</v>
      </c>
      <c r="B89" s="47"/>
      <c r="C89" s="47"/>
      <c r="D89" s="47"/>
      <c r="E89" s="47"/>
      <c r="F89" s="47"/>
      <c r="G89" s="80"/>
      <c r="H89" s="80"/>
      <c r="I89" s="80"/>
      <c r="J89" s="80"/>
      <c r="K89" s="80"/>
      <c r="L89" s="81"/>
      <c r="M89" s="81"/>
      <c r="N89" s="81"/>
      <c r="O89" s="81"/>
      <c r="P89" s="81"/>
    </row>
    <row r="90">
      <c r="A90" s="69" t="s">
        <v>107</v>
      </c>
      <c r="B90" s="60" t="s">
        <v>108</v>
      </c>
      <c r="C90" s="61" t="s">
        <v>82</v>
      </c>
      <c r="D90" s="62">
        <v>2.0</v>
      </c>
      <c r="E90" s="61" t="s">
        <v>78</v>
      </c>
      <c r="F90" s="62">
        <v>2.0</v>
      </c>
      <c r="G90" s="80"/>
      <c r="H90" s="80"/>
      <c r="I90" s="80"/>
      <c r="J90" s="80"/>
      <c r="K90" s="80"/>
      <c r="L90" s="81"/>
      <c r="M90" s="81"/>
      <c r="N90" s="81"/>
      <c r="O90" s="81"/>
      <c r="P90" s="81"/>
    </row>
    <row r="91">
      <c r="A91" s="25"/>
      <c r="B91" s="25"/>
      <c r="C91" s="61" t="s">
        <v>82</v>
      </c>
      <c r="D91" s="62">
        <v>2.0</v>
      </c>
      <c r="E91" s="61" t="s">
        <v>81</v>
      </c>
      <c r="F91" s="62">
        <v>2.0</v>
      </c>
      <c r="G91" s="80"/>
      <c r="H91" s="80"/>
      <c r="I91" s="80"/>
      <c r="J91" s="80"/>
      <c r="K91" s="80"/>
      <c r="L91" s="81"/>
      <c r="M91" s="81"/>
      <c r="N91" s="81"/>
      <c r="O91" s="81"/>
      <c r="P91" s="81"/>
    </row>
    <row r="92">
      <c r="A92" s="25"/>
      <c r="B92" s="25"/>
      <c r="C92" s="61" t="s">
        <v>77</v>
      </c>
      <c r="D92" s="62">
        <v>2.0</v>
      </c>
      <c r="E92" s="61" t="s">
        <v>81</v>
      </c>
      <c r="F92" s="62">
        <v>2.0</v>
      </c>
      <c r="G92" s="80"/>
      <c r="H92" s="80"/>
      <c r="I92" s="80"/>
      <c r="J92" s="80"/>
      <c r="K92" s="80"/>
      <c r="L92" s="81"/>
      <c r="M92" s="81"/>
      <c r="N92" s="81"/>
      <c r="O92" s="81"/>
      <c r="P92" s="81"/>
    </row>
    <row r="93">
      <c r="A93" s="25"/>
      <c r="B93" s="25"/>
      <c r="C93" s="61" t="s">
        <v>82</v>
      </c>
      <c r="D93" s="62">
        <v>2.0</v>
      </c>
      <c r="E93" s="61" t="s">
        <v>84</v>
      </c>
      <c r="F93" s="62">
        <v>2.0</v>
      </c>
      <c r="G93" s="80"/>
      <c r="H93" s="80"/>
      <c r="I93" s="80"/>
      <c r="J93" s="80"/>
      <c r="K93" s="80"/>
      <c r="L93" s="81"/>
      <c r="M93" s="81"/>
      <c r="N93" s="81"/>
      <c r="O93" s="81"/>
      <c r="P93" s="81"/>
    </row>
    <row r="94">
      <c r="A94" s="25"/>
      <c r="B94" s="25"/>
      <c r="C94" s="61" t="s">
        <v>82</v>
      </c>
      <c r="D94" s="62">
        <v>2.0</v>
      </c>
      <c r="E94" s="61" t="s">
        <v>85</v>
      </c>
      <c r="F94" s="62">
        <v>2.0</v>
      </c>
      <c r="G94" s="80"/>
      <c r="H94" s="80"/>
      <c r="I94" s="80"/>
      <c r="J94" s="80"/>
      <c r="K94" s="80"/>
      <c r="L94" s="81"/>
      <c r="M94" s="81"/>
      <c r="N94" s="81"/>
      <c r="O94" s="81"/>
      <c r="P94" s="81"/>
    </row>
    <row r="95">
      <c r="A95" s="25"/>
      <c r="B95" s="25"/>
      <c r="C95" s="61" t="s">
        <v>77</v>
      </c>
      <c r="D95" s="62">
        <v>2.0</v>
      </c>
      <c r="E95" s="61" t="s">
        <v>85</v>
      </c>
      <c r="F95" s="62">
        <v>2.0</v>
      </c>
      <c r="G95" s="80"/>
      <c r="H95" s="80"/>
      <c r="I95" s="80"/>
      <c r="J95" s="80"/>
      <c r="K95" s="80"/>
      <c r="L95" s="81"/>
      <c r="M95" s="81"/>
      <c r="N95" s="81"/>
      <c r="O95" s="81"/>
      <c r="P95" s="81"/>
    </row>
    <row r="96">
      <c r="A96" s="25"/>
      <c r="B96" s="25"/>
      <c r="C96" s="61" t="s">
        <v>86</v>
      </c>
      <c r="D96" s="62">
        <v>2.0</v>
      </c>
      <c r="E96" s="61" t="s">
        <v>84</v>
      </c>
      <c r="F96" s="62">
        <v>2.0</v>
      </c>
      <c r="G96" s="80"/>
      <c r="H96" s="80"/>
      <c r="I96" s="80"/>
      <c r="J96" s="80"/>
      <c r="K96" s="80"/>
      <c r="L96" s="81"/>
      <c r="M96" s="81"/>
      <c r="N96" s="81"/>
      <c r="O96" s="81"/>
      <c r="P96" s="81"/>
    </row>
    <row r="97">
      <c r="A97" s="25"/>
      <c r="B97" s="25"/>
      <c r="C97" s="61" t="s">
        <v>86</v>
      </c>
      <c r="D97" s="62">
        <v>2.0</v>
      </c>
      <c r="E97" s="61" t="s">
        <v>85</v>
      </c>
      <c r="F97" s="62">
        <v>2.0</v>
      </c>
      <c r="G97" s="80"/>
      <c r="H97" s="80"/>
      <c r="I97" s="80"/>
      <c r="J97" s="80"/>
      <c r="K97" s="80"/>
      <c r="L97" s="81"/>
      <c r="M97" s="81"/>
      <c r="N97" s="81"/>
      <c r="O97" s="81"/>
      <c r="P97" s="81"/>
    </row>
    <row r="98">
      <c r="A98" s="26"/>
      <c r="B98" s="26"/>
      <c r="C98" s="61" t="s">
        <v>78</v>
      </c>
      <c r="D98" s="62">
        <v>2.0</v>
      </c>
      <c r="E98" s="61" t="s">
        <v>85</v>
      </c>
      <c r="F98" s="62">
        <v>2.0</v>
      </c>
      <c r="G98" s="80"/>
      <c r="H98" s="80"/>
      <c r="I98" s="80"/>
      <c r="J98" s="80"/>
      <c r="K98" s="80"/>
      <c r="L98" s="81"/>
      <c r="M98" s="81"/>
      <c r="N98" s="81"/>
      <c r="O98" s="81"/>
      <c r="P98" s="81"/>
    </row>
    <row r="99">
      <c r="A99" s="59" t="s">
        <v>37</v>
      </c>
      <c r="B99" s="47"/>
      <c r="C99" s="47"/>
      <c r="D99" s="47"/>
      <c r="E99" s="47"/>
      <c r="F99" s="47"/>
      <c r="G99" s="80"/>
      <c r="H99" s="80"/>
      <c r="I99" s="80"/>
      <c r="J99" s="80"/>
      <c r="K99" s="80"/>
      <c r="L99" s="81"/>
      <c r="M99" s="81"/>
      <c r="N99" s="81"/>
      <c r="O99" s="81"/>
      <c r="P99" s="81"/>
    </row>
    <row r="100">
      <c r="A100" s="59" t="s">
        <v>40</v>
      </c>
      <c r="B100" s="47"/>
      <c r="C100" s="47"/>
      <c r="D100" s="47"/>
      <c r="E100" s="47"/>
      <c r="F100" s="47"/>
      <c r="G100" s="80"/>
      <c r="H100" s="80"/>
      <c r="I100" s="80"/>
      <c r="J100" s="80"/>
      <c r="K100" s="80"/>
      <c r="L100" s="81"/>
      <c r="M100" s="81"/>
      <c r="N100" s="81"/>
      <c r="O100" s="81"/>
      <c r="P100" s="81"/>
    </row>
    <row r="101">
      <c r="A101" s="60" t="s">
        <v>109</v>
      </c>
      <c r="B101" s="60" t="s">
        <v>110</v>
      </c>
      <c r="C101" s="61" t="s">
        <v>150</v>
      </c>
      <c r="D101" s="62">
        <v>4.0</v>
      </c>
      <c r="E101" s="61" t="s">
        <v>84</v>
      </c>
      <c r="F101" s="62">
        <v>4.0</v>
      </c>
      <c r="G101" s="80"/>
      <c r="H101" s="80"/>
      <c r="I101" s="80"/>
      <c r="J101" s="80"/>
      <c r="K101" s="80"/>
      <c r="L101" s="81"/>
      <c r="M101" s="81"/>
      <c r="N101" s="81"/>
      <c r="O101" s="81"/>
      <c r="P101" s="81"/>
    </row>
    <row r="102">
      <c r="A102" s="25"/>
      <c r="B102" s="25"/>
      <c r="C102" s="61" t="s">
        <v>151</v>
      </c>
      <c r="D102" s="62">
        <v>4.0</v>
      </c>
      <c r="E102" s="61" t="s">
        <v>85</v>
      </c>
      <c r="F102" s="62">
        <v>4.0</v>
      </c>
      <c r="G102" s="80"/>
      <c r="H102" s="80"/>
      <c r="I102" s="80"/>
      <c r="J102" s="80"/>
      <c r="K102" s="80"/>
      <c r="L102" s="81"/>
      <c r="M102" s="81"/>
      <c r="N102" s="81"/>
      <c r="O102" s="81"/>
      <c r="P102" s="81"/>
    </row>
    <row r="103">
      <c r="A103" s="25"/>
      <c r="B103" s="25"/>
      <c r="C103" s="61" t="s">
        <v>113</v>
      </c>
      <c r="D103" s="62">
        <v>4.0</v>
      </c>
      <c r="E103" s="61" t="s">
        <v>83</v>
      </c>
      <c r="F103" s="62">
        <v>4.0</v>
      </c>
      <c r="G103" s="80"/>
      <c r="H103" s="80"/>
      <c r="I103" s="80"/>
      <c r="J103" s="80"/>
      <c r="K103" s="80"/>
      <c r="L103" s="81"/>
      <c r="M103" s="81"/>
      <c r="N103" s="81"/>
      <c r="O103" s="81"/>
      <c r="P103" s="81"/>
    </row>
    <row r="104">
      <c r="A104" s="25"/>
      <c r="B104" s="25"/>
      <c r="C104" s="61" t="s">
        <v>114</v>
      </c>
      <c r="D104" s="62">
        <v>4.0</v>
      </c>
      <c r="E104" s="61" t="s">
        <v>78</v>
      </c>
      <c r="F104" s="62">
        <v>4.0</v>
      </c>
      <c r="G104" s="80"/>
      <c r="H104" s="80"/>
      <c r="I104" s="80"/>
      <c r="J104" s="80"/>
      <c r="K104" s="80"/>
      <c r="L104" s="81"/>
      <c r="M104" s="81"/>
      <c r="N104" s="81"/>
      <c r="O104" s="81"/>
      <c r="P104" s="81"/>
    </row>
    <row r="105">
      <c r="A105" s="25"/>
      <c r="B105" s="25"/>
      <c r="C105" s="61" t="s">
        <v>152</v>
      </c>
      <c r="D105" s="62">
        <v>4.0</v>
      </c>
      <c r="E105" s="61" t="s">
        <v>81</v>
      </c>
      <c r="F105" s="62">
        <v>4.0</v>
      </c>
      <c r="G105" s="80"/>
      <c r="H105" s="80"/>
      <c r="I105" s="80"/>
      <c r="J105" s="80"/>
      <c r="K105" s="80"/>
      <c r="L105" s="81"/>
      <c r="M105" s="81"/>
      <c r="N105" s="81"/>
      <c r="O105" s="81"/>
      <c r="P105" s="81"/>
    </row>
    <row r="106">
      <c r="A106" s="25"/>
      <c r="B106" s="25"/>
      <c r="C106" s="61" t="s">
        <v>113</v>
      </c>
      <c r="D106" s="62">
        <v>4.0</v>
      </c>
      <c r="E106" s="61" t="s">
        <v>86</v>
      </c>
      <c r="F106" s="62">
        <v>4.0</v>
      </c>
      <c r="G106" s="80"/>
      <c r="H106" s="80"/>
      <c r="I106" s="80"/>
      <c r="J106" s="80"/>
      <c r="K106" s="80"/>
      <c r="L106" s="81"/>
      <c r="M106" s="81"/>
      <c r="N106" s="81"/>
      <c r="O106" s="81"/>
      <c r="P106" s="81"/>
    </row>
    <row r="107">
      <c r="A107" s="25"/>
      <c r="B107" s="25"/>
      <c r="C107" s="61" t="s">
        <v>116</v>
      </c>
      <c r="D107" s="62">
        <v>4.0</v>
      </c>
      <c r="E107" s="61" t="s">
        <v>77</v>
      </c>
      <c r="F107" s="62">
        <v>4.0</v>
      </c>
      <c r="G107" s="80"/>
      <c r="H107" s="80"/>
      <c r="I107" s="80"/>
      <c r="J107" s="80"/>
      <c r="K107" s="80"/>
      <c r="L107" s="81"/>
      <c r="M107" s="81"/>
      <c r="N107" s="81"/>
      <c r="O107" s="81"/>
      <c r="P107" s="81"/>
    </row>
    <row r="108">
      <c r="A108" s="25"/>
      <c r="B108" s="25"/>
      <c r="C108" s="61" t="s">
        <v>117</v>
      </c>
      <c r="D108" s="62">
        <v>4.0</v>
      </c>
      <c r="E108" s="61" t="s">
        <v>80</v>
      </c>
      <c r="F108" s="62">
        <v>4.0</v>
      </c>
      <c r="G108" s="80"/>
      <c r="H108" s="80"/>
      <c r="I108" s="80"/>
      <c r="J108" s="80"/>
      <c r="K108" s="80"/>
      <c r="L108" s="81"/>
      <c r="M108" s="81"/>
      <c r="N108" s="81"/>
      <c r="O108" s="81"/>
      <c r="P108" s="81"/>
    </row>
    <row r="109">
      <c r="A109" s="26"/>
      <c r="B109" s="26"/>
      <c r="C109" s="71" t="s">
        <v>118</v>
      </c>
      <c r="D109" s="62">
        <v>4.0</v>
      </c>
      <c r="E109" s="71" t="s">
        <v>82</v>
      </c>
      <c r="F109" s="62">
        <v>4.0</v>
      </c>
      <c r="G109" s="80"/>
      <c r="H109" s="80"/>
      <c r="I109" s="80"/>
      <c r="J109" s="80"/>
      <c r="K109" s="80"/>
      <c r="L109" s="81"/>
      <c r="M109" s="81"/>
      <c r="N109" s="81"/>
      <c r="O109" s="81"/>
      <c r="P109" s="81"/>
    </row>
    <row r="110">
      <c r="A110" s="59" t="s">
        <v>37</v>
      </c>
      <c r="B110" s="48"/>
      <c r="C110" s="48"/>
      <c r="D110" s="48"/>
      <c r="E110" s="48"/>
      <c r="F110" s="47"/>
      <c r="G110" s="80"/>
      <c r="H110" s="80"/>
      <c r="I110" s="80"/>
      <c r="J110" s="80"/>
      <c r="K110" s="80"/>
      <c r="L110" s="81"/>
      <c r="M110" s="81"/>
      <c r="N110" s="81"/>
      <c r="O110" s="81"/>
      <c r="P110" s="81"/>
    </row>
    <row r="111">
      <c r="A111" s="72" t="s">
        <v>40</v>
      </c>
      <c r="B111" s="73"/>
      <c r="C111" s="73"/>
      <c r="D111" s="73"/>
      <c r="E111" s="73"/>
      <c r="F111" s="74"/>
      <c r="G111" s="80"/>
      <c r="H111" s="80"/>
      <c r="I111" s="80"/>
      <c r="J111" s="80"/>
      <c r="K111" s="80"/>
      <c r="L111" s="81"/>
      <c r="M111" s="81"/>
      <c r="N111" s="81"/>
      <c r="O111" s="81"/>
      <c r="P111" s="81"/>
    </row>
  </sheetData>
  <mergeCells count="16">
    <mergeCell ref="A69:A76"/>
    <mergeCell ref="A79:A87"/>
    <mergeCell ref="B79:B87"/>
    <mergeCell ref="A90:A98"/>
    <mergeCell ref="B90:B98"/>
    <mergeCell ref="A101:A109"/>
    <mergeCell ref="B101:B109"/>
    <mergeCell ref="G1:K1"/>
    <mergeCell ref="L1:P1"/>
    <mergeCell ref="A27:A66"/>
    <mergeCell ref="B69:B76"/>
    <mergeCell ref="A3:A22"/>
    <mergeCell ref="B3:B13"/>
    <mergeCell ref="B14:B22"/>
    <mergeCell ref="B27:B46"/>
    <mergeCell ref="B47:B6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153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0">
      <c r="A10" s="83"/>
      <c r="B10" s="84" t="s">
        <v>154</v>
      </c>
      <c r="C10" s="6"/>
      <c r="D10" s="6"/>
      <c r="E10" s="6"/>
      <c r="F10" s="6"/>
      <c r="G10" s="7"/>
    </row>
    <row r="11">
      <c r="A11" s="83"/>
      <c r="B11" s="85" t="s">
        <v>0</v>
      </c>
      <c r="C11" s="85" t="s">
        <v>1</v>
      </c>
      <c r="D11" s="85" t="s">
        <v>2</v>
      </c>
      <c r="E11" s="85" t="s">
        <v>3</v>
      </c>
      <c r="F11" s="85" t="s">
        <v>4</v>
      </c>
      <c r="G11" s="85" t="s">
        <v>155</v>
      </c>
      <c r="H11" s="86"/>
    </row>
    <row r="12">
      <c r="A12" s="87" t="s">
        <v>156</v>
      </c>
      <c r="B12" s="83"/>
      <c r="C12" s="83"/>
      <c r="D12" s="83"/>
      <c r="E12" s="83"/>
      <c r="F12" s="87" t="s">
        <v>157</v>
      </c>
      <c r="G12" s="87" t="s">
        <v>158</v>
      </c>
    </row>
    <row r="13">
      <c r="A13" s="87" t="s">
        <v>42</v>
      </c>
      <c r="B13" s="83"/>
      <c r="C13" s="83"/>
      <c r="D13" s="83"/>
      <c r="E13" s="83"/>
      <c r="F13" s="87" t="s">
        <v>159</v>
      </c>
      <c r="G13" s="87" t="s">
        <v>160</v>
      </c>
    </row>
    <row r="14">
      <c r="A14" s="87" t="s">
        <v>76</v>
      </c>
      <c r="B14" s="83"/>
      <c r="C14" s="83"/>
      <c r="D14" s="83"/>
      <c r="E14" s="83"/>
      <c r="F14" s="87" t="s">
        <v>161</v>
      </c>
      <c r="G14" s="87" t="s">
        <v>162</v>
      </c>
    </row>
    <row r="15">
      <c r="A15" s="87" t="s">
        <v>88</v>
      </c>
      <c r="B15" s="83"/>
      <c r="C15" s="83"/>
      <c r="D15" s="83"/>
      <c r="E15" s="83"/>
      <c r="F15" s="87" t="s">
        <v>163</v>
      </c>
      <c r="G15" s="87" t="s">
        <v>164</v>
      </c>
    </row>
    <row r="16">
      <c r="A16" s="87" t="s">
        <v>108</v>
      </c>
      <c r="B16" s="83"/>
      <c r="C16" s="83"/>
      <c r="D16" s="83"/>
      <c r="E16" s="83"/>
      <c r="F16" s="87" t="s">
        <v>165</v>
      </c>
      <c r="G16" s="87" t="s">
        <v>166</v>
      </c>
    </row>
    <row r="17">
      <c r="A17" s="87" t="s">
        <v>110</v>
      </c>
      <c r="B17" s="83"/>
      <c r="C17" s="83"/>
      <c r="D17" s="83"/>
      <c r="E17" s="83"/>
      <c r="F17" s="87" t="s">
        <v>167</v>
      </c>
      <c r="G17" s="87" t="s">
        <v>168</v>
      </c>
    </row>
    <row r="20">
      <c r="A20" s="83"/>
      <c r="B20" s="84" t="s">
        <v>169</v>
      </c>
      <c r="C20" s="6"/>
      <c r="D20" s="6"/>
      <c r="E20" s="6"/>
      <c r="F20" s="6"/>
      <c r="G20" s="7"/>
    </row>
    <row r="21">
      <c r="A21" s="83"/>
      <c r="B21" s="85" t="s">
        <v>0</v>
      </c>
      <c r="C21" s="85" t="s">
        <v>1</v>
      </c>
      <c r="D21" s="85" t="s">
        <v>2</v>
      </c>
      <c r="E21" s="85" t="s">
        <v>3</v>
      </c>
      <c r="F21" s="85" t="s">
        <v>4</v>
      </c>
      <c r="G21" s="85" t="s">
        <v>155</v>
      </c>
    </row>
    <row r="22">
      <c r="A22" s="87" t="s">
        <v>156</v>
      </c>
      <c r="B22" s="83"/>
      <c r="C22" s="83"/>
      <c r="D22" s="83"/>
      <c r="E22" s="83"/>
      <c r="F22" s="87" t="s">
        <v>170</v>
      </c>
      <c r="G22" s="87" t="s">
        <v>171</v>
      </c>
    </row>
    <row r="23">
      <c r="A23" s="87" t="s">
        <v>42</v>
      </c>
      <c r="B23" s="83"/>
      <c r="C23" s="83"/>
      <c r="D23" s="83"/>
      <c r="E23" s="83"/>
      <c r="F23" s="87" t="s">
        <v>172</v>
      </c>
      <c r="G23" s="87" t="s">
        <v>173</v>
      </c>
    </row>
    <row r="24">
      <c r="A24" s="87" t="s">
        <v>76</v>
      </c>
      <c r="B24" s="83"/>
      <c r="C24" s="83"/>
      <c r="D24" s="83"/>
      <c r="E24" s="83"/>
      <c r="F24" s="87" t="s">
        <v>174</v>
      </c>
      <c r="G24" s="87" t="s">
        <v>175</v>
      </c>
    </row>
    <row r="25">
      <c r="A25" s="87" t="s">
        <v>88</v>
      </c>
      <c r="B25" s="83"/>
      <c r="C25" s="83"/>
      <c r="D25" s="83"/>
      <c r="E25" s="83"/>
      <c r="F25" s="87" t="s">
        <v>176</v>
      </c>
      <c r="G25" s="87" t="s">
        <v>177</v>
      </c>
    </row>
    <row r="26">
      <c r="A26" s="87" t="s">
        <v>108</v>
      </c>
      <c r="B26" s="83"/>
      <c r="C26" s="83"/>
      <c r="D26" s="83"/>
      <c r="E26" s="83"/>
      <c r="F26" s="87" t="s">
        <v>178</v>
      </c>
      <c r="G26" s="87" t="s">
        <v>179</v>
      </c>
    </row>
    <row r="27">
      <c r="A27" s="87" t="s">
        <v>110</v>
      </c>
      <c r="B27" s="83"/>
      <c r="C27" s="83"/>
      <c r="D27" s="83"/>
      <c r="E27" s="83"/>
      <c r="F27" s="87" t="s">
        <v>180</v>
      </c>
      <c r="G27" s="87" t="s">
        <v>181</v>
      </c>
    </row>
  </sheetData>
  <mergeCells count="2">
    <mergeCell ref="B10:G10"/>
    <mergeCell ref="B20:G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8" t="s">
        <v>182</v>
      </c>
    </row>
    <row r="2">
      <c r="A2" s="88" t="s">
        <v>183</v>
      </c>
    </row>
    <row r="3">
      <c r="A3" s="89" t="s">
        <v>184</v>
      </c>
    </row>
    <row r="4">
      <c r="A4" s="89" t="s">
        <v>185</v>
      </c>
    </row>
    <row r="5">
      <c r="A5" s="89" t="s">
        <v>186</v>
      </c>
    </row>
    <row r="6">
      <c r="A6" s="88" t="s">
        <v>187</v>
      </c>
    </row>
    <row r="8">
      <c r="A8" s="90" t="s">
        <v>188</v>
      </c>
      <c r="B8" s="91"/>
      <c r="C8" s="91"/>
      <c r="D8" s="91"/>
      <c r="E8" s="91"/>
    </row>
    <row r="9">
      <c r="A9" s="92"/>
      <c r="B9" s="93" t="s">
        <v>189</v>
      </c>
      <c r="C9" s="93" t="s">
        <v>190</v>
      </c>
      <c r="D9" s="93" t="s">
        <v>191</v>
      </c>
      <c r="E9" s="93" t="s">
        <v>192</v>
      </c>
    </row>
    <row r="10">
      <c r="A10" s="94" t="s">
        <v>193</v>
      </c>
      <c r="B10" s="94" t="s">
        <v>194</v>
      </c>
      <c r="C10" s="93" t="s">
        <v>195</v>
      </c>
      <c r="D10" s="93" t="s">
        <v>196</v>
      </c>
      <c r="E10" s="94" t="s">
        <v>197</v>
      </c>
      <c r="G10" s="88" t="s">
        <v>198</v>
      </c>
    </row>
    <row r="11">
      <c r="A11" s="25"/>
      <c r="B11" s="25"/>
      <c r="C11" s="93" t="s">
        <v>195</v>
      </c>
      <c r="D11" s="93" t="s">
        <v>199</v>
      </c>
      <c r="E11" s="25"/>
    </row>
    <row r="12">
      <c r="A12" s="25"/>
      <c r="B12" s="25"/>
      <c r="C12" s="93" t="s">
        <v>200</v>
      </c>
      <c r="D12" s="93" t="s">
        <v>199</v>
      </c>
      <c r="E12" s="25"/>
    </row>
    <row r="13">
      <c r="A13" s="25"/>
      <c r="B13" s="25"/>
      <c r="C13" s="93" t="s">
        <v>196</v>
      </c>
      <c r="D13" s="93" t="s">
        <v>195</v>
      </c>
      <c r="E13" s="25"/>
    </row>
    <row r="14">
      <c r="A14" s="25"/>
      <c r="B14" s="25"/>
      <c r="C14" s="93" t="s">
        <v>199</v>
      </c>
      <c r="D14" s="93" t="s">
        <v>195</v>
      </c>
      <c r="E14" s="25"/>
    </row>
    <row r="15">
      <c r="A15" s="26"/>
      <c r="B15" s="26"/>
      <c r="C15" s="93" t="s">
        <v>199</v>
      </c>
      <c r="D15" s="93" t="s">
        <v>200</v>
      </c>
      <c r="E15" s="26"/>
    </row>
    <row r="16">
      <c r="A16" s="94" t="s">
        <v>201</v>
      </c>
      <c r="B16" s="94" t="s">
        <v>202</v>
      </c>
      <c r="C16" s="93" t="s">
        <v>203</v>
      </c>
      <c r="D16" s="93" t="s">
        <v>204</v>
      </c>
      <c r="E16" s="94" t="s">
        <v>205</v>
      </c>
    </row>
    <row r="17">
      <c r="A17" s="25"/>
      <c r="B17" s="25"/>
      <c r="C17" s="93" t="s">
        <v>203</v>
      </c>
      <c r="D17" s="93" t="s">
        <v>206</v>
      </c>
      <c r="E17" s="25"/>
    </row>
    <row r="18">
      <c r="A18" s="25"/>
      <c r="B18" s="25"/>
      <c r="C18" s="93" t="s">
        <v>204</v>
      </c>
      <c r="D18" s="93" t="s">
        <v>206</v>
      </c>
      <c r="E18" s="25"/>
    </row>
    <row r="19">
      <c r="A19" s="25"/>
      <c r="B19" s="25"/>
      <c r="C19" s="93" t="s">
        <v>204</v>
      </c>
      <c r="D19" s="93" t="s">
        <v>203</v>
      </c>
      <c r="E19" s="25"/>
    </row>
    <row r="20">
      <c r="A20" s="25"/>
      <c r="B20" s="25"/>
      <c r="C20" s="93" t="s">
        <v>206</v>
      </c>
      <c r="D20" s="93" t="s">
        <v>203</v>
      </c>
      <c r="E20" s="25"/>
    </row>
    <row r="21">
      <c r="A21" s="26"/>
      <c r="B21" s="26"/>
      <c r="C21" s="93" t="s">
        <v>206</v>
      </c>
      <c r="D21" s="93" t="s">
        <v>204</v>
      </c>
      <c r="E21" s="26"/>
    </row>
    <row r="23">
      <c r="A23" s="95" t="s">
        <v>207</v>
      </c>
      <c r="B23" s="96"/>
    </row>
    <row r="24">
      <c r="A24" s="96"/>
      <c r="B24" s="97" t="s">
        <v>208</v>
      </c>
    </row>
    <row r="25">
      <c r="A25" s="96"/>
      <c r="B25" s="95">
        <v>1.0</v>
      </c>
      <c r="G25" s="88" t="s">
        <v>198</v>
      </c>
    </row>
    <row r="26">
      <c r="A26" s="96"/>
      <c r="B26" s="95">
        <v>3.0</v>
      </c>
    </row>
    <row r="27">
      <c r="A27" s="96"/>
      <c r="B27" s="95">
        <v>6.0</v>
      </c>
    </row>
    <row r="28">
      <c r="A28" s="96"/>
      <c r="B28" s="95">
        <v>9.0</v>
      </c>
    </row>
    <row r="29">
      <c r="A29" s="96"/>
      <c r="B29" s="95">
        <v>12.0</v>
      </c>
    </row>
    <row r="30">
      <c r="A30" s="96"/>
      <c r="B30" s="95">
        <v>17.0</v>
      </c>
    </row>
    <row r="32">
      <c r="A32" s="98" t="s">
        <v>209</v>
      </c>
      <c r="B32" s="99"/>
      <c r="C32" s="99"/>
      <c r="D32" s="99"/>
      <c r="E32" s="99"/>
      <c r="G32" s="88" t="s">
        <v>198</v>
      </c>
    </row>
    <row r="33">
      <c r="A33" s="98" t="s">
        <v>210</v>
      </c>
      <c r="B33" s="99"/>
      <c r="C33" s="99"/>
      <c r="D33" s="99"/>
      <c r="E33" s="99"/>
    </row>
    <row r="34">
      <c r="A34" s="98" t="s">
        <v>211</v>
      </c>
      <c r="B34" s="99"/>
      <c r="C34" s="99"/>
      <c r="D34" s="99"/>
      <c r="E34" s="99"/>
    </row>
  </sheetData>
  <mergeCells count="6">
    <mergeCell ref="A10:A15"/>
    <mergeCell ref="B10:B15"/>
    <mergeCell ref="E10:E15"/>
    <mergeCell ref="A16:A21"/>
    <mergeCell ref="B16:B21"/>
    <mergeCell ref="E16:E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7.0"/>
    <col customWidth="1" min="2" max="2" width="38.38"/>
  </cols>
  <sheetData>
    <row r="1">
      <c r="A1" s="100" t="s">
        <v>212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>
      <c r="B2" s="102" t="s">
        <v>213</v>
      </c>
      <c r="C2" s="103" t="s">
        <v>214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>
      <c r="B3" s="102" t="s">
        <v>215</v>
      </c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>
      <c r="A4" s="100" t="s">
        <v>216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>
      <c r="B5" s="102" t="s">
        <v>217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>
      <c r="B6" s="102" t="s">
        <v>218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>
      <c r="B7" s="102" t="s">
        <v>219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>
      <c r="A8" s="100" t="s">
        <v>220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>
      <c r="A9" s="104" t="s">
        <v>221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>
      <c r="A10" s="105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>
      <c r="A11" s="105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>
      <c r="A12" s="105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>
      <c r="A13" s="105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>
      <c r="A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>
      <c r="A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>
      <c r="A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>
      <c r="A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>
      <c r="A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>
      <c r="A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>
      <c r="A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>
      <c r="A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>
      <c r="A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>
      <c r="A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>
      <c r="A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>
      <c r="A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>
      <c r="A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>
      <c r="A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>
      <c r="A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>
      <c r="A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>
      <c r="A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>
      <c r="A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>
      <c r="A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>
      <c r="A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>
      <c r="A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>
      <c r="A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>
      <c r="A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>
      <c r="A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>
      <c r="A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>
      <c r="A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>
      <c r="A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>
      <c r="A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>
      <c r="A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>
      <c r="A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>
      <c r="A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>
      <c r="A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>
      <c r="A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>
      <c r="A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>
      <c r="A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>
      <c r="A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>
      <c r="A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>
      <c r="A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>
      <c r="A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>
      <c r="A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>
      <c r="A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>
      <c r="A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>
      <c r="A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>
      <c r="A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>
      <c r="A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>
      <c r="A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>
      <c r="A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>
      <c r="A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>
      <c r="A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>
      <c r="A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>
      <c r="A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>
      <c r="A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>
      <c r="A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>
      <c r="A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>
      <c r="A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>
      <c r="A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>
      <c r="A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>
      <c r="A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>
      <c r="A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>
      <c r="A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>
      <c r="A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>
      <c r="A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>
      <c r="A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>
      <c r="A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>
      <c r="A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>
      <c r="A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>
      <c r="A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>
      <c r="A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>
      <c r="A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>
      <c r="A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>
      <c r="A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>
      <c r="A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>
      <c r="A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>
      <c r="A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>
      <c r="A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>
      <c r="A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>
      <c r="A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>
      <c r="A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>
      <c r="A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>
      <c r="A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>
      <c r="A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>
      <c r="A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>
      <c r="A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>
      <c r="A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>
      <c r="A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>
      <c r="A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>
      <c r="A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>
      <c r="A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>
      <c r="A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>
      <c r="A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>
      <c r="A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>
      <c r="A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>
      <c r="A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>
      <c r="A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>
      <c r="A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>
      <c r="A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>
      <c r="A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>
      <c r="A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>
      <c r="A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>
      <c r="A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>
      <c r="A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>
      <c r="A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>
      <c r="A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>
      <c r="A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>
      <c r="A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>
      <c r="A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>
      <c r="A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>
      <c r="A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>
      <c r="A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>
      <c r="A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>
      <c r="A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>
      <c r="A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>
      <c r="A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>
      <c r="A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>
      <c r="A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>
      <c r="A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>
      <c r="A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>
      <c r="A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>
      <c r="A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>
      <c r="A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>
      <c r="A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>
      <c r="A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>
      <c r="A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>
      <c r="A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>
      <c r="A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>
      <c r="A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>
      <c r="A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>
      <c r="A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>
      <c r="A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>
      <c r="A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>
      <c r="A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>
      <c r="A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>
      <c r="A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>
      <c r="A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>
      <c r="A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>
      <c r="A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>
      <c r="A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>
      <c r="A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>
      <c r="A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>
      <c r="A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>
      <c r="A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>
      <c r="A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>
      <c r="A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>
      <c r="A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>
      <c r="A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>
      <c r="A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>
      <c r="A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>
      <c r="A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>
      <c r="A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>
      <c r="A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>
      <c r="A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>
      <c r="A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>
      <c r="A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>
      <c r="A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>
      <c r="A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>
      <c r="A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>
      <c r="A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>
      <c r="A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>
      <c r="A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>
      <c r="A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>
      <c r="A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>
      <c r="A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>
      <c r="A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>
      <c r="A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>
      <c r="A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>
      <c r="A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>
      <c r="A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>
      <c r="A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>
      <c r="A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>
      <c r="A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>
      <c r="A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>
      <c r="A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>
      <c r="A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>
      <c r="A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>
      <c r="A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>
      <c r="A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>
      <c r="A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>
      <c r="A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>
      <c r="A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>
      <c r="A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>
      <c r="A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>
      <c r="A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>
      <c r="A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>
      <c r="A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>
      <c r="A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>
      <c r="A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>
      <c r="A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>
      <c r="A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>
      <c r="A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>
      <c r="A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>
      <c r="A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>
      <c r="A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>
      <c r="A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>
      <c r="A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>
      <c r="A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>
      <c r="A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>
      <c r="A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>
      <c r="A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>
      <c r="A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>
      <c r="A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>
      <c r="A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>
      <c r="A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>
      <c r="A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>
      <c r="A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>
      <c r="A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>
      <c r="A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>
      <c r="A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>
      <c r="A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>
      <c r="A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>
      <c r="A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>
      <c r="A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>
      <c r="A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>
      <c r="A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>
      <c r="A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>
      <c r="A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>
      <c r="A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>
      <c r="A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>
      <c r="A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>
      <c r="A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>
      <c r="A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>
      <c r="A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>
      <c r="A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>
      <c r="A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>
      <c r="A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>
      <c r="A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>
      <c r="A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>
      <c r="A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>
      <c r="A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>
      <c r="A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>
      <c r="A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>
      <c r="A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>
      <c r="A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>
      <c r="A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>
      <c r="A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>
      <c r="A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>
      <c r="A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>
      <c r="A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>
      <c r="A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>
      <c r="A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>
      <c r="A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>
      <c r="A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>
      <c r="A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>
      <c r="A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>
      <c r="A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>
      <c r="A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>
      <c r="A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>
      <c r="A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>
      <c r="A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>
      <c r="A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>
      <c r="A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>
      <c r="A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>
      <c r="A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>
      <c r="A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>
      <c r="A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>
      <c r="A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>
      <c r="A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>
      <c r="A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>
      <c r="A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>
      <c r="A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>
      <c r="A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>
      <c r="A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>
      <c r="A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>
      <c r="A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>
      <c r="A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>
      <c r="A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>
      <c r="A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>
      <c r="A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>
      <c r="A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>
      <c r="A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>
      <c r="A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>
      <c r="A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>
      <c r="A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>
      <c r="A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>
      <c r="A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>
      <c r="A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>
      <c r="A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>
      <c r="A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>
      <c r="A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>
      <c r="A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>
      <c r="A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>
      <c r="A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>
      <c r="A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>
      <c r="A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>
      <c r="A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>
      <c r="A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>
      <c r="A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>
      <c r="A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>
      <c r="A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>
      <c r="A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>
      <c r="A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>
      <c r="A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>
      <c r="A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>
      <c r="A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>
      <c r="A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>
      <c r="A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>
      <c r="A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>
      <c r="A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>
      <c r="A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>
      <c r="A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>
      <c r="A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>
      <c r="A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>
      <c r="A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>
      <c r="A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>
      <c r="A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>
      <c r="A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>
      <c r="A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>
      <c r="A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>
      <c r="A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>
      <c r="A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>
      <c r="A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>
      <c r="A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>
      <c r="A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>
      <c r="A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>
      <c r="A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>
      <c r="A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>
      <c r="A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>
      <c r="A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>
      <c r="A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>
      <c r="A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>
      <c r="A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>
      <c r="A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>
      <c r="A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>
      <c r="A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>
      <c r="A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>
      <c r="A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>
      <c r="A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>
      <c r="A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>
      <c r="A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>
      <c r="A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>
      <c r="A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>
      <c r="A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>
      <c r="A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>
      <c r="A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>
      <c r="A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>
      <c r="A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>
      <c r="A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>
      <c r="A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>
      <c r="A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>
      <c r="A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>
      <c r="A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>
      <c r="A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>
      <c r="A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>
      <c r="A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>
      <c r="A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>
      <c r="A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>
      <c r="A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>
      <c r="A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>
      <c r="A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>
      <c r="A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>
      <c r="A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>
      <c r="A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>
      <c r="A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>
      <c r="A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>
      <c r="A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>
      <c r="A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>
      <c r="A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>
      <c r="A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>
      <c r="A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>
      <c r="A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>
      <c r="A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>
      <c r="A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>
      <c r="A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>
      <c r="A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>
      <c r="A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>
      <c r="A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>
      <c r="A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>
      <c r="A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>
      <c r="A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>
      <c r="A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>
      <c r="A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>
      <c r="A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>
      <c r="A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>
      <c r="A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>
      <c r="A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>
      <c r="A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>
      <c r="A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>
      <c r="A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>
      <c r="A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>
      <c r="A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>
      <c r="A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>
      <c r="A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>
      <c r="A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>
      <c r="A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>
      <c r="A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>
      <c r="A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>
      <c r="A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>
      <c r="A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>
      <c r="A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>
      <c r="A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>
      <c r="A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>
      <c r="A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>
      <c r="A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>
      <c r="A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>
      <c r="A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>
      <c r="A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>
      <c r="A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>
      <c r="A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>
      <c r="A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>
      <c r="A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>
      <c r="A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>
      <c r="A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>
      <c r="A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>
      <c r="A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>
      <c r="A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>
      <c r="A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>
      <c r="A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>
      <c r="A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>
      <c r="A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>
      <c r="A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>
      <c r="A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>
      <c r="A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>
      <c r="A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>
      <c r="A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>
      <c r="A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>
      <c r="A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>
      <c r="A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>
      <c r="A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>
      <c r="A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>
      <c r="A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>
      <c r="A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>
      <c r="A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>
      <c r="A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>
      <c r="A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>
      <c r="A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>
      <c r="A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>
      <c r="A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>
      <c r="A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>
      <c r="A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>
      <c r="A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>
      <c r="A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>
      <c r="A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>
      <c r="A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>
      <c r="A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>
      <c r="A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>
      <c r="A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>
      <c r="A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>
      <c r="A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>
      <c r="A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>
      <c r="A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>
      <c r="A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>
      <c r="A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>
      <c r="A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>
      <c r="A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>
      <c r="A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>
      <c r="A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>
      <c r="A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>
      <c r="A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>
      <c r="A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>
      <c r="A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>
      <c r="A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>
      <c r="A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>
      <c r="A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>
      <c r="A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>
      <c r="A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>
      <c r="A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>
      <c r="A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>
      <c r="A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>
      <c r="A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>
      <c r="A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>
      <c r="A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>
      <c r="A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>
      <c r="A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>
      <c r="A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>
      <c r="A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>
      <c r="A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>
      <c r="A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>
      <c r="A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>
      <c r="A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>
      <c r="A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>
      <c r="A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>
      <c r="A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>
      <c r="A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>
      <c r="A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>
      <c r="A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>
      <c r="A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>
      <c r="A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>
      <c r="A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>
      <c r="A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>
      <c r="A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>
      <c r="A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>
      <c r="A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>
      <c r="A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>
      <c r="A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>
      <c r="A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>
      <c r="A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>
      <c r="A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>
      <c r="A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>
      <c r="A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>
      <c r="A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>
      <c r="A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>
      <c r="A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>
      <c r="A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>
      <c r="A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>
      <c r="A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>
      <c r="A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>
      <c r="A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>
      <c r="A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>
      <c r="A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>
      <c r="A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>
      <c r="A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>
      <c r="A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>
      <c r="A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>
      <c r="A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>
      <c r="A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>
      <c r="A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>
      <c r="A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>
      <c r="A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>
      <c r="A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>
      <c r="A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>
      <c r="A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>
      <c r="A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>
      <c r="A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>
      <c r="A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>
      <c r="A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>
      <c r="A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>
      <c r="A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>
      <c r="A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>
      <c r="A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>
      <c r="A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>
      <c r="A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>
      <c r="A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>
      <c r="A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>
      <c r="A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>
      <c r="A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>
      <c r="A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>
      <c r="A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>
      <c r="A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>
      <c r="A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>
      <c r="A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>
      <c r="A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>
      <c r="A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>
      <c r="A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>
      <c r="A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>
      <c r="A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>
      <c r="A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>
      <c r="A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>
      <c r="A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>
      <c r="A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>
      <c r="A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>
      <c r="A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>
      <c r="A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>
      <c r="A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>
      <c r="A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>
      <c r="A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>
      <c r="A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>
      <c r="A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>
      <c r="A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>
      <c r="A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>
      <c r="A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>
      <c r="A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>
      <c r="A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>
      <c r="A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>
      <c r="A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>
      <c r="A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>
      <c r="A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>
      <c r="A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>
      <c r="A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>
      <c r="A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>
      <c r="A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>
      <c r="A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>
      <c r="A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>
      <c r="A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>
      <c r="A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>
      <c r="A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>
      <c r="A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>
      <c r="A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>
      <c r="A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>
      <c r="A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>
      <c r="A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>
      <c r="A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>
      <c r="A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>
      <c r="A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>
      <c r="A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>
      <c r="A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>
      <c r="A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>
      <c r="A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>
      <c r="A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>
      <c r="A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>
      <c r="A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>
      <c r="A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>
      <c r="A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>
      <c r="A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>
      <c r="A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>
      <c r="A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>
      <c r="A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>
      <c r="A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>
      <c r="A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>
      <c r="A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>
      <c r="A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>
      <c r="A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>
      <c r="A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>
      <c r="A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>
      <c r="A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>
      <c r="A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>
      <c r="A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>
      <c r="A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>
      <c r="A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>
      <c r="A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>
      <c r="A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>
      <c r="A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>
      <c r="A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>
      <c r="A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>
      <c r="A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>
      <c r="A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>
      <c r="A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>
      <c r="A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>
      <c r="A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>
      <c r="A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>
      <c r="A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>
      <c r="A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>
      <c r="A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>
      <c r="A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>
      <c r="A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>
      <c r="A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>
      <c r="A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>
      <c r="A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>
      <c r="A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>
      <c r="A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>
      <c r="A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>
      <c r="A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>
      <c r="A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>
      <c r="A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>
      <c r="A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>
      <c r="A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>
      <c r="A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>
      <c r="A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>
      <c r="A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>
      <c r="A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>
      <c r="A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>
      <c r="A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>
      <c r="A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>
      <c r="A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>
      <c r="A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>
      <c r="A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>
      <c r="A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>
      <c r="A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>
      <c r="A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>
      <c r="A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>
      <c r="A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>
      <c r="A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>
      <c r="A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>
      <c r="A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>
      <c r="A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>
      <c r="A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>
      <c r="A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>
      <c r="A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>
      <c r="A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>
      <c r="A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>
      <c r="A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>
      <c r="A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>
      <c r="A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>
      <c r="A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>
      <c r="A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>
      <c r="A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>
      <c r="A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>
      <c r="A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>
      <c r="A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>
      <c r="A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>
      <c r="A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>
      <c r="A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>
      <c r="A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>
      <c r="A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>
      <c r="A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>
      <c r="A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>
      <c r="A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>
      <c r="A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>
      <c r="A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>
      <c r="A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>
      <c r="A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>
      <c r="A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>
      <c r="A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>
      <c r="A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>
      <c r="A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>
      <c r="A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>
      <c r="A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>
      <c r="A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>
      <c r="A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>
      <c r="A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>
      <c r="A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>
      <c r="A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>
      <c r="A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>
      <c r="A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>
      <c r="A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>
      <c r="A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>
      <c r="A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>
      <c r="A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>
      <c r="A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>
      <c r="A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>
      <c r="A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>
      <c r="A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>
      <c r="A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>
      <c r="A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>
      <c r="A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>
      <c r="A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>
      <c r="A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>
      <c r="A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>
      <c r="A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>
      <c r="A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>
      <c r="A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>
      <c r="A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>
      <c r="A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>
      <c r="A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>
      <c r="A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>
      <c r="A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>
      <c r="A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>
      <c r="A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>
      <c r="A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>
      <c r="A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>
      <c r="A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>
      <c r="A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>
      <c r="A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>
      <c r="A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>
      <c r="A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>
      <c r="A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>
      <c r="A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>
      <c r="A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>
      <c r="A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>
      <c r="A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>
      <c r="A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>
      <c r="A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>
      <c r="A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>
      <c r="A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>
      <c r="A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>
      <c r="A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>
      <c r="A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>
      <c r="A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>
      <c r="A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>
      <c r="A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>
      <c r="A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>
      <c r="A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>
      <c r="A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>
      <c r="A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>
      <c r="A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>
      <c r="A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>
      <c r="A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>
      <c r="A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>
      <c r="A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>
      <c r="A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>
      <c r="A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>
      <c r="A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>
      <c r="A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>
      <c r="A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>
      <c r="A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>
      <c r="A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>
      <c r="A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>
      <c r="A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>
      <c r="A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>
      <c r="A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>
      <c r="A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>
      <c r="A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>
      <c r="A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>
      <c r="A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>
      <c r="A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>
      <c r="A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>
      <c r="A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>
      <c r="A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>
      <c r="A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>
      <c r="A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>
      <c r="A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>
      <c r="A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>
      <c r="A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>
      <c r="A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>
      <c r="A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>
      <c r="A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>
      <c r="A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>
      <c r="A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>
      <c r="A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>
      <c r="A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>
      <c r="A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>
      <c r="A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>
      <c r="A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>
      <c r="A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>
      <c r="A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>
      <c r="A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>
      <c r="A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>
      <c r="A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>
      <c r="A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>
      <c r="A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>
      <c r="A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>
      <c r="A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>
      <c r="A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>
      <c r="A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>
      <c r="A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>
      <c r="A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>
      <c r="A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>
      <c r="A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>
      <c r="A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>
      <c r="A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>
      <c r="A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>
      <c r="A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>
      <c r="A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>
      <c r="A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>
      <c r="A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>
      <c r="A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>
      <c r="A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>
      <c r="A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>
      <c r="A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>
      <c r="A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>
      <c r="A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>
      <c r="A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>
      <c r="A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>
      <c r="A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>
      <c r="A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>
      <c r="A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>
      <c r="A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>
      <c r="A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>
      <c r="A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>
      <c r="A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>
      <c r="A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>
      <c r="A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>
      <c r="A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>
      <c r="A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>
      <c r="A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>
      <c r="A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>
      <c r="A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>
      <c r="A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>
      <c r="A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>
      <c r="A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>
      <c r="A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>
      <c r="A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>
      <c r="A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>
      <c r="A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>
      <c r="A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>
      <c r="A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>
      <c r="A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>
      <c r="A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>
      <c r="A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>
      <c r="A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>
      <c r="A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>
      <c r="A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>
      <c r="A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>
      <c r="A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>
      <c r="A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>
      <c r="A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>
      <c r="A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>
      <c r="A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>
      <c r="A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>
      <c r="A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>
      <c r="A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>
      <c r="A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>
      <c r="A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>
      <c r="A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>
      <c r="A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>
      <c r="A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>
      <c r="A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>
      <c r="A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>
      <c r="A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>
      <c r="A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>
      <c r="A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>
      <c r="A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>
      <c r="A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>
      <c r="A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>
      <c r="A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>
      <c r="A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>
      <c r="A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>
      <c r="A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>
      <c r="A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>
      <c r="A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>
      <c r="A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>
      <c r="A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>
      <c r="A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>
      <c r="A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>
      <c r="A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>
      <c r="A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>
      <c r="A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>
      <c r="A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>
      <c r="A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>
      <c r="A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>
      <c r="A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>
      <c r="A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>
      <c r="A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>
      <c r="A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>
      <c r="A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>
      <c r="A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>
      <c r="A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>
      <c r="A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>
      <c r="A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>
      <c r="A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>
      <c r="A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>
      <c r="A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>
      <c r="A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>
      <c r="A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>
      <c r="A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>
      <c r="A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>
      <c r="A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>
      <c r="A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>
      <c r="A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>
      <c r="A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>
      <c r="A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>
      <c r="A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>
      <c r="A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>
      <c r="A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>
      <c r="A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>
      <c r="A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>
      <c r="A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>
      <c r="A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>
      <c r="A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>
      <c r="A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>
      <c r="A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>
      <c r="A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>
      <c r="A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>
      <c r="A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>
      <c r="A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>
      <c r="A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>
      <c r="A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>
      <c r="A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>
      <c r="A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>
      <c r="A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>
      <c r="A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>
      <c r="A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>
      <c r="A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>
      <c r="A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>
      <c r="A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>
      <c r="A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>
      <c r="A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>
      <c r="A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>
      <c r="A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>
      <c r="A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>
      <c r="A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>
      <c r="A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>
      <c r="A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>
      <c r="A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>
      <c r="A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>
      <c r="A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>
      <c r="A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>
      <c r="A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>
      <c r="A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>
      <c r="A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>
      <c r="A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>
      <c r="A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>
      <c r="A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>
      <c r="A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>
      <c r="A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>
      <c r="A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>
      <c r="A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>
      <c r="A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>
      <c r="A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>
      <c r="A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>
      <c r="A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>
      <c r="A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>
      <c r="A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>
      <c r="A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>
      <c r="A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>
      <c r="A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>
      <c r="A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>
      <c r="A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>
      <c r="A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>
      <c r="A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>
      <c r="A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>
      <c r="A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>
      <c r="A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>
      <c r="A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>
      <c r="A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>
      <c r="A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>
      <c r="A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>
      <c r="A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>
      <c r="A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>
      <c r="A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>
      <c r="A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>
      <c r="A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>
      <c r="A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>
      <c r="A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>
      <c r="A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>
      <c r="A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>
      <c r="A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>
      <c r="A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>
      <c r="A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>
      <c r="A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>
      <c r="A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>
      <c r="A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>
      <c r="A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>
      <c r="A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>
      <c r="A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>
      <c r="A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>
      <c r="A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>
      <c r="A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>
      <c r="A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>
      <c r="A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>
      <c r="A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>
      <c r="A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>
      <c r="A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>
      <c r="A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>
      <c r="A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>
      <c r="A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>
      <c r="A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>
      <c r="A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>
      <c r="A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  <row r="1001">
      <c r="A1001" s="101"/>
      <c r="C1001" s="101"/>
      <c r="D1001" s="101"/>
      <c r="E1001" s="101"/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">
        <v>183</v>
      </c>
      <c r="B1" s="106"/>
      <c r="C1" s="106"/>
      <c r="D1" s="106"/>
    </row>
    <row r="2">
      <c r="A2" s="107" t="s">
        <v>184</v>
      </c>
      <c r="B2" s="106"/>
      <c r="C2" s="106"/>
      <c r="D2" s="106"/>
    </row>
    <row r="3">
      <c r="A3" s="107" t="s">
        <v>185</v>
      </c>
      <c r="B3" s="106"/>
      <c r="C3" s="106"/>
      <c r="D3" s="106"/>
    </row>
    <row r="4">
      <c r="A4" s="107" t="s">
        <v>186</v>
      </c>
      <c r="B4" s="106"/>
      <c r="C4" s="106"/>
      <c r="D4" s="106"/>
    </row>
    <row r="5">
      <c r="A5" s="106" t="s">
        <v>187</v>
      </c>
      <c r="B5" s="106"/>
      <c r="C5" s="106"/>
      <c r="D5" s="106"/>
    </row>
    <row r="6">
      <c r="A6" s="106"/>
      <c r="B6" s="106"/>
      <c r="C6" s="106"/>
      <c r="D6" s="106"/>
    </row>
    <row r="7">
      <c r="A7" s="106"/>
      <c r="B7" s="106"/>
      <c r="C7" s="106"/>
      <c r="D7" s="106"/>
    </row>
    <row r="8">
      <c r="A8" s="78"/>
      <c r="B8" s="78"/>
      <c r="C8" s="78"/>
      <c r="D8" s="78"/>
    </row>
    <row r="17">
      <c r="A17" s="108" t="s">
        <v>222</v>
      </c>
      <c r="B17" s="109"/>
      <c r="C17" s="109"/>
      <c r="D17" s="109"/>
      <c r="E17" s="109"/>
      <c r="F17" s="109"/>
      <c r="G17" s="108" t="s">
        <v>223</v>
      </c>
      <c r="H17" s="108" t="s">
        <v>224</v>
      </c>
      <c r="I17" s="109"/>
      <c r="J17" s="109"/>
      <c r="K17" s="77"/>
      <c r="L17" s="77"/>
      <c r="M17" s="77"/>
    </row>
    <row r="18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77"/>
      <c r="L18" s="77"/>
      <c r="M18" s="77"/>
    </row>
    <row r="19">
      <c r="A19" s="110"/>
      <c r="B19" s="110"/>
      <c r="C19" s="111" t="s">
        <v>7</v>
      </c>
      <c r="D19" s="111" t="s">
        <v>9</v>
      </c>
      <c r="E19" s="108"/>
      <c r="F19" s="108" t="s">
        <v>11</v>
      </c>
      <c r="G19" s="109"/>
      <c r="H19" s="109"/>
      <c r="I19" s="109"/>
      <c r="J19" s="109"/>
      <c r="K19" s="77"/>
      <c r="L19" s="77"/>
      <c r="M19" s="77"/>
    </row>
    <row r="20">
      <c r="A20" s="108" t="s">
        <v>225</v>
      </c>
      <c r="B20" s="108" t="s">
        <v>156</v>
      </c>
      <c r="C20" s="108" t="s">
        <v>226</v>
      </c>
      <c r="D20" s="108" t="s">
        <v>227</v>
      </c>
      <c r="E20" s="109"/>
      <c r="F20" s="109"/>
      <c r="G20" s="108" t="s">
        <v>228</v>
      </c>
      <c r="H20" s="112" t="s">
        <v>229</v>
      </c>
      <c r="K20" s="77"/>
      <c r="L20" s="77"/>
      <c r="M20" s="77"/>
    </row>
    <row r="21">
      <c r="C21" s="108" t="s">
        <v>230</v>
      </c>
      <c r="D21" s="108" t="s">
        <v>231</v>
      </c>
      <c r="E21" s="109"/>
      <c r="F21" s="109"/>
      <c r="G21" s="108" t="s">
        <v>228</v>
      </c>
      <c r="K21" s="77"/>
      <c r="L21" s="77"/>
      <c r="M21" s="77"/>
    </row>
    <row r="22">
      <c r="C22" s="108" t="s">
        <v>232</v>
      </c>
      <c r="D22" s="108" t="s">
        <v>233</v>
      </c>
      <c r="E22" s="109"/>
      <c r="F22" s="109"/>
      <c r="G22" s="108" t="s">
        <v>228</v>
      </c>
      <c r="K22" s="77"/>
      <c r="L22" s="77"/>
      <c r="M22" s="77"/>
    </row>
    <row r="23">
      <c r="A23" s="108"/>
      <c r="B23" s="108"/>
      <c r="C23" s="108"/>
      <c r="D23" s="108"/>
      <c r="E23" s="109"/>
      <c r="F23" s="109"/>
      <c r="G23" s="109"/>
      <c r="H23" s="109"/>
      <c r="I23" s="109"/>
      <c r="J23" s="109"/>
      <c r="K23" s="77"/>
      <c r="L23" s="77"/>
      <c r="M23" s="77"/>
    </row>
    <row r="24">
      <c r="A24" s="108"/>
      <c r="B24" s="108"/>
      <c r="C24" s="108"/>
      <c r="D24" s="108"/>
      <c r="E24" s="109"/>
      <c r="F24" s="109"/>
      <c r="G24" s="109"/>
      <c r="H24" s="109"/>
      <c r="I24" s="109"/>
      <c r="J24" s="109"/>
      <c r="K24" s="77"/>
      <c r="L24" s="77"/>
      <c r="M24" s="77"/>
    </row>
    <row r="25">
      <c r="A25" s="108"/>
      <c r="B25" s="108"/>
      <c r="C25" s="108"/>
      <c r="D25" s="108"/>
      <c r="E25" s="109"/>
      <c r="F25" s="109"/>
      <c r="G25" s="109"/>
      <c r="H25" s="109"/>
      <c r="I25" s="109"/>
      <c r="J25" s="109"/>
      <c r="K25" s="77"/>
      <c r="L25" s="77"/>
      <c r="M25" s="77"/>
    </row>
    <row r="26">
      <c r="A26" s="108" t="s">
        <v>234</v>
      </c>
      <c r="B26" s="108" t="s">
        <v>42</v>
      </c>
      <c r="C26" s="113" t="s">
        <v>235</v>
      </c>
      <c r="D26" s="114" t="s">
        <v>236</v>
      </c>
      <c r="E26" s="109"/>
      <c r="F26" s="109"/>
      <c r="G26" s="108" t="s">
        <v>228</v>
      </c>
      <c r="H26" s="112" t="s">
        <v>237</v>
      </c>
      <c r="K26" s="77"/>
      <c r="L26" s="77"/>
      <c r="M26" s="77"/>
    </row>
    <row r="27">
      <c r="C27" s="115" t="s">
        <v>238</v>
      </c>
      <c r="D27" s="116" t="s">
        <v>239</v>
      </c>
      <c r="E27" s="109"/>
      <c r="F27" s="109"/>
      <c r="G27" s="108" t="s">
        <v>228</v>
      </c>
      <c r="K27" s="77"/>
      <c r="L27" s="77"/>
      <c r="M27" s="77"/>
    </row>
    <row r="28">
      <c r="C28" s="115" t="s">
        <v>240</v>
      </c>
      <c r="D28" s="116" t="s">
        <v>241</v>
      </c>
      <c r="E28" s="109"/>
      <c r="F28" s="109"/>
      <c r="G28" s="108" t="s">
        <v>228</v>
      </c>
      <c r="K28" s="77"/>
      <c r="L28" s="77"/>
      <c r="M28" s="77"/>
    </row>
    <row r="29">
      <c r="C29" s="115" t="s">
        <v>242</v>
      </c>
      <c r="D29" s="116" t="s">
        <v>243</v>
      </c>
      <c r="E29" s="109"/>
      <c r="F29" s="109"/>
      <c r="G29" s="108" t="s">
        <v>228</v>
      </c>
      <c r="K29" s="77"/>
      <c r="L29" s="77"/>
      <c r="M29" s="77"/>
    </row>
    <row r="30">
      <c r="C30" s="115" t="s">
        <v>244</v>
      </c>
      <c r="D30" s="116" t="s">
        <v>245</v>
      </c>
      <c r="E30" s="109"/>
      <c r="F30" s="109"/>
      <c r="G30" s="108" t="s">
        <v>228</v>
      </c>
      <c r="K30" s="77"/>
      <c r="L30" s="77"/>
      <c r="M30" s="77"/>
    </row>
    <row r="31">
      <c r="C31" s="117" t="s">
        <v>246</v>
      </c>
      <c r="D31" s="118" t="s">
        <v>247</v>
      </c>
      <c r="E31" s="109"/>
      <c r="F31" s="109"/>
      <c r="G31" s="108" t="s">
        <v>228</v>
      </c>
      <c r="K31" s="77"/>
      <c r="L31" s="77"/>
      <c r="M31" s="77"/>
    </row>
    <row r="32">
      <c r="A32" s="108" t="s">
        <v>248</v>
      </c>
      <c r="B32" s="108" t="s">
        <v>249</v>
      </c>
      <c r="C32" s="113" t="s">
        <v>250</v>
      </c>
      <c r="D32" s="114" t="s">
        <v>251</v>
      </c>
      <c r="E32" s="109"/>
      <c r="F32" s="109"/>
      <c r="G32" s="108" t="s">
        <v>252</v>
      </c>
      <c r="K32" s="119" t="s">
        <v>253</v>
      </c>
      <c r="L32" s="77"/>
      <c r="M32" s="77"/>
    </row>
    <row r="33">
      <c r="C33" s="115" t="s">
        <v>254</v>
      </c>
      <c r="D33" s="116" t="s">
        <v>255</v>
      </c>
      <c r="E33" s="109"/>
      <c r="F33" s="109"/>
      <c r="G33" s="108" t="s">
        <v>252</v>
      </c>
      <c r="K33" s="77"/>
      <c r="L33" s="77"/>
      <c r="M33" s="77"/>
    </row>
    <row r="34">
      <c r="C34" s="117" t="s">
        <v>256</v>
      </c>
      <c r="D34" s="118" t="s">
        <v>257</v>
      </c>
      <c r="E34" s="109"/>
      <c r="F34" s="109"/>
      <c r="G34" s="108" t="s">
        <v>252</v>
      </c>
      <c r="K34" s="77"/>
      <c r="L34" s="77"/>
      <c r="M34" s="77"/>
    </row>
    <row r="35">
      <c r="A35" s="108" t="s">
        <v>258</v>
      </c>
      <c r="B35" s="108" t="s">
        <v>259</v>
      </c>
      <c r="C35" s="108" t="s">
        <v>260</v>
      </c>
      <c r="D35" s="108" t="s">
        <v>261</v>
      </c>
      <c r="E35" s="108"/>
      <c r="F35" s="108" t="s">
        <v>262</v>
      </c>
      <c r="G35" s="108" t="s">
        <v>252</v>
      </c>
      <c r="H35" s="108" t="s">
        <v>263</v>
      </c>
      <c r="K35" s="77"/>
      <c r="L35" s="77"/>
      <c r="M35" s="77"/>
    </row>
    <row r="36">
      <c r="A36" s="112" t="s">
        <v>264</v>
      </c>
      <c r="B36" s="108" t="s">
        <v>265</v>
      </c>
      <c r="C36" s="108" t="s">
        <v>266</v>
      </c>
      <c r="D36" s="108" t="s">
        <v>267</v>
      </c>
      <c r="E36" s="108"/>
      <c r="F36" s="108" t="s">
        <v>268</v>
      </c>
      <c r="G36" s="109"/>
      <c r="H36" s="109"/>
      <c r="K36" s="77"/>
      <c r="L36" s="77"/>
      <c r="M36" s="77"/>
    </row>
    <row r="37">
      <c r="C37" s="108" t="s">
        <v>269</v>
      </c>
      <c r="D37" s="108" t="s">
        <v>270</v>
      </c>
      <c r="E37" s="108"/>
      <c r="F37" s="108" t="s">
        <v>262</v>
      </c>
      <c r="G37" s="108" t="s">
        <v>252</v>
      </c>
      <c r="K37" s="77"/>
      <c r="L37" s="77"/>
      <c r="M37" s="77"/>
    </row>
    <row r="38">
      <c r="C38" s="108" t="s">
        <v>271</v>
      </c>
      <c r="D38" s="108" t="s">
        <v>272</v>
      </c>
      <c r="E38" s="108"/>
      <c r="F38" s="108" t="s">
        <v>262</v>
      </c>
      <c r="G38" s="108" t="s">
        <v>252</v>
      </c>
      <c r="K38" s="77"/>
      <c r="L38" s="77"/>
      <c r="M38" s="77"/>
    </row>
    <row r="39">
      <c r="C39" s="108" t="s">
        <v>273</v>
      </c>
      <c r="D39" s="108" t="s">
        <v>274</v>
      </c>
      <c r="E39" s="108"/>
      <c r="F39" s="108" t="s">
        <v>262</v>
      </c>
      <c r="G39" s="108" t="s">
        <v>252</v>
      </c>
      <c r="K39" s="77"/>
      <c r="L39" s="77"/>
      <c r="M39" s="77"/>
    </row>
    <row r="40">
      <c r="C40" s="108" t="s">
        <v>275</v>
      </c>
      <c r="D40" s="108" t="s">
        <v>276</v>
      </c>
      <c r="E40" s="108"/>
      <c r="F40" s="108" t="s">
        <v>262</v>
      </c>
      <c r="G40" s="108" t="s">
        <v>252</v>
      </c>
      <c r="K40" s="77"/>
      <c r="L40" s="77"/>
      <c r="M40" s="77"/>
    </row>
    <row r="41">
      <c r="C41" s="108" t="s">
        <v>277</v>
      </c>
      <c r="D41" s="108" t="s">
        <v>278</v>
      </c>
      <c r="E41" s="108"/>
      <c r="F41" s="108" t="s">
        <v>262</v>
      </c>
      <c r="G41" s="108" t="s">
        <v>252</v>
      </c>
      <c r="K41" s="77"/>
      <c r="L41" s="77"/>
      <c r="M41" s="77"/>
    </row>
    <row r="42">
      <c r="C42" s="108" t="s">
        <v>279</v>
      </c>
      <c r="D42" s="108" t="s">
        <v>280</v>
      </c>
      <c r="E42" s="108"/>
      <c r="F42" s="108" t="s">
        <v>262</v>
      </c>
      <c r="G42" s="108" t="s">
        <v>252</v>
      </c>
      <c r="K42" s="77"/>
      <c r="L42" s="77"/>
      <c r="M42" s="77"/>
    </row>
    <row r="43">
      <c r="C43" s="108" t="s">
        <v>281</v>
      </c>
      <c r="D43" s="108" t="s">
        <v>282</v>
      </c>
      <c r="E43" s="108"/>
      <c r="F43" s="108" t="s">
        <v>262</v>
      </c>
      <c r="G43" s="108" t="s">
        <v>252</v>
      </c>
      <c r="K43" s="77"/>
      <c r="L43" s="77"/>
      <c r="M43" s="77"/>
    </row>
    <row r="44">
      <c r="C44" s="108" t="s">
        <v>283</v>
      </c>
      <c r="D44" s="108" t="s">
        <v>284</v>
      </c>
      <c r="E44" s="108"/>
      <c r="F44" s="108" t="s">
        <v>262</v>
      </c>
      <c r="G44" s="108" t="s">
        <v>252</v>
      </c>
      <c r="K44" s="77"/>
      <c r="L44" s="77"/>
      <c r="M44" s="77"/>
    </row>
    <row r="45">
      <c r="A45" s="108" t="s">
        <v>285</v>
      </c>
      <c r="B45" s="108" t="s">
        <v>286</v>
      </c>
      <c r="C45" s="108" t="s">
        <v>287</v>
      </c>
      <c r="D45" s="108" t="s">
        <v>288</v>
      </c>
      <c r="E45" s="109"/>
      <c r="F45" s="109"/>
      <c r="G45" s="108" t="s">
        <v>228</v>
      </c>
      <c r="H45" s="112" t="s">
        <v>289</v>
      </c>
      <c r="K45" s="77"/>
      <c r="L45" s="77"/>
      <c r="M45" s="77"/>
    </row>
    <row r="46">
      <c r="C46" s="108" t="s">
        <v>290</v>
      </c>
      <c r="D46" s="108" t="s">
        <v>291</v>
      </c>
      <c r="E46" s="109"/>
      <c r="F46" s="109"/>
      <c r="G46" s="108" t="s">
        <v>228</v>
      </c>
      <c r="K46" s="77"/>
      <c r="L46" s="77"/>
      <c r="M46" s="77"/>
    </row>
    <row r="47">
      <c r="C47" s="108" t="s">
        <v>292</v>
      </c>
      <c r="D47" s="108" t="s">
        <v>293</v>
      </c>
      <c r="E47" s="109"/>
      <c r="F47" s="109"/>
      <c r="G47" s="108" t="s">
        <v>228</v>
      </c>
      <c r="K47" s="77"/>
      <c r="L47" s="77"/>
      <c r="M47" s="77"/>
    </row>
  </sheetData>
  <mergeCells count="15">
    <mergeCell ref="H26:J34"/>
    <mergeCell ref="H35:J35"/>
    <mergeCell ref="H36:J44"/>
    <mergeCell ref="H45:J47"/>
    <mergeCell ref="A36:A44"/>
    <mergeCell ref="B36:B44"/>
    <mergeCell ref="A45:A47"/>
    <mergeCell ref="B45:B47"/>
    <mergeCell ref="A20:A22"/>
    <mergeCell ref="B20:B22"/>
    <mergeCell ref="H20:J22"/>
    <mergeCell ref="A26:A31"/>
    <mergeCell ref="B26:B31"/>
    <mergeCell ref="A32:A34"/>
    <mergeCell ref="B32:B34"/>
  </mergeCells>
  <drawing r:id="rId2"/>
  <legacyDrawing r:id="rId3"/>
</worksheet>
</file>